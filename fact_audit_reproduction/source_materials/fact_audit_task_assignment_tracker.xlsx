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PhanCong" sheetId="2" r:id="rId6"/>
    <sheet state="visible" name="Milestones" sheetId="3" r:id="rId7"/>
    <sheet state="visible" name="Timeline" sheetId="4" r:id="rId8"/>
    <sheet state="visible" name="Demo_Checklist" sheetId="5" r:id="rId9"/>
    <sheet state="visible" name="Refs_Config" sheetId="6" r:id="rId10"/>
  </sheets>
  <definedNames/>
  <calcPr/>
</workbook>
</file>

<file path=xl/sharedStrings.xml><?xml version="1.0" encoding="utf-8"?>
<sst xmlns="http://schemas.openxmlformats.org/spreadsheetml/2006/main" count="713" uniqueCount="403">
  <si>
    <t>FACT-AUDIT+RAG Project Tracker</t>
  </si>
  <si>
    <t>Deadline: 10/07/2026 | Scope: baseline FACT-AUDIT + tích hợp FACT-AUDIT+RAG + so sánh kết quả | Presentation: 20 phút + demo</t>
  </si>
  <si>
    <t>KPI</t>
  </si>
  <si>
    <t>Value</t>
  </si>
  <si>
    <t>Target/Meaning</t>
  </si>
  <si>
    <t>Status</t>
  </si>
  <si>
    <t>Count</t>
  </si>
  <si>
    <t>Demo scope khuyến nghị</t>
  </si>
  <si>
    <t>Total tasks</t>
  </si>
  <si>
    <t>Số task trong sheet PhanCong</t>
  </si>
  <si>
    <t>Not Started</t>
  </si>
  <si>
    <t>Baseline</t>
  </si>
  <si>
    <t>FACT-AUDIT gốc trên 10–30 claims, 1–2 categories</t>
  </si>
  <si>
    <t>Done tasks</t>
  </si>
  <si>
    <t>Task đã Done</t>
  </si>
  <si>
    <t>In Progress</t>
  </si>
  <si>
    <t>Innovation</t>
  </si>
  <si>
    <t>FACT-AUDIT+RAG cắm trước target LLM</t>
  </si>
  <si>
    <t>In progress/review</t>
  </si>
  <si>
    <t>Task đang làm hoặc chờ review</t>
  </si>
  <si>
    <t>Review</t>
  </si>
  <si>
    <t>Comparison</t>
  </si>
  <si>
    <t>Cùng claim set, cùng target model</t>
  </si>
  <si>
    <t>Blocked tasks</t>
  </si>
  <si>
    <t>Cần xử lý ngay</t>
  </si>
  <si>
    <t>Blocked</t>
  </si>
  <si>
    <t>Demo live</t>
  </si>
  <si>
    <t>Chạy 1 claim qua baseline/RAG dưới 2 phút</t>
  </si>
  <si>
    <t>Overall progress</t>
  </si>
  <si>
    <t>Trung bình Progress</t>
  </si>
  <si>
    <t>Done</t>
  </si>
  <si>
    <t>Backup</t>
  </si>
  <si>
    <t>Cached output + video demo 2–4 phút</t>
  </si>
  <si>
    <t>Days to deadline</t>
  </si>
  <si>
    <t>Tính từ TODAY() đến 10/07/2026</t>
  </si>
  <si>
    <t>Điểm nhấn</t>
  </si>
  <si>
    <t>Cải thiện verdict/justification bằng retrieved evidence</t>
  </si>
  <si>
    <t>Interface contract done</t>
  </si>
  <si>
    <t>C2.3b + I3.2b Done</t>
  </si>
  <si>
    <t>Baseline results ready</t>
  </si>
  <si>
    <t>C2.4 Done</t>
  </si>
  <si>
    <t>RAG integrated ready</t>
  </si>
  <si>
    <t>I3.5 Done</t>
  </si>
  <si>
    <t>Comparison ready</t>
  </si>
  <si>
    <t>I3.6 Done</t>
  </si>
  <si>
    <t>Owner</t>
  </si>
  <si>
    <t>Tasks</t>
  </si>
  <si>
    <t>In Progress/Review</t>
  </si>
  <si>
    <t>Avg Progress</t>
  </si>
  <si>
    <t>Quang Tèo - Theory/Slides</t>
  </si>
  <si>
    <t>Mr. Tô - Code/Reproduction</t>
  </si>
  <si>
    <t>Cu Ấn - FACT-AUDIT+RAG</t>
  </si>
  <si>
    <t>Cả nhóm</t>
  </si>
  <si>
    <t>Milestone snapshot</t>
  </si>
  <si>
    <t>ID</t>
  </si>
  <si>
    <t>Date</t>
  </si>
  <si>
    <t>Milestone</t>
  </si>
  <si>
    <t>Risk</t>
  </si>
  <si>
    <t>M1</t>
  </si>
  <si>
    <t>Chốt scope project</t>
  </si>
  <si>
    <t>M2</t>
  </si>
  <si>
    <t>Repo chạy smoke test</t>
  </si>
  <si>
    <t>M3</t>
  </si>
  <si>
    <t>Hoàn tất lý thuyết paper</t>
  </si>
  <si>
    <t>Tèo - Theory/Slides</t>
  </si>
  <si>
    <t>M3b</t>
  </si>
  <si>
    <t>Chốt interface baseline ↔ RAG</t>
  </si>
  <si>
    <t>M4</t>
  </si>
  <si>
    <t>Baseline mini-reproduction</t>
  </si>
  <si>
    <t>M5</t>
  </si>
  <si>
    <t>FACT-AUDIT+RAG chạy với mock/baseline output</t>
  </si>
  <si>
    <t>M6</t>
  </si>
  <si>
    <t>FACT-AUDIT+RAG tích hợp vào pipeline</t>
  </si>
  <si>
    <t>M7</t>
  </si>
  <si>
    <t>Có comparison baseline vs RAG</t>
  </si>
  <si>
    <t>Workstream</t>
  </si>
  <si>
    <t>Task</t>
  </si>
  <si>
    <t>Priority</t>
  </si>
  <si>
    <t>Start</t>
  </si>
  <si>
    <t>Due</t>
  </si>
  <si>
    <t>Progress</t>
  </si>
  <si>
    <t>Output</t>
  </si>
  <si>
    <t>Notes</t>
  </si>
  <si>
    <t>Days Left</t>
  </si>
  <si>
    <t>T1.1</t>
  </si>
  <si>
    <t>Theory</t>
  </si>
  <si>
    <t>Đọc paper, tóm tắt problem &amp; motivation</t>
  </si>
  <si>
    <t>High</t>
  </si>
  <si>
    <t>Tóm tắt 1 trang</t>
  </si>
  <si>
    <t>Tập trung: benchmark tĩnh, data leakage, thiếu đánh giá justification</t>
  </si>
  <si>
    <t>T1.2</t>
  </si>
  <si>
    <t>Vẽ pipeline FACT-AUDIT gốc</t>
  </si>
  <si>
    <t>Sơ đồ pipeline gốc cho slide</t>
  </si>
  <si>
    <t>Prototype Emulation → Fact Verification → Adaptive Updating</t>
  </si>
  <si>
    <t>T1.3</t>
  </si>
  <si>
    <t>Giải thích vai trò các agent trong FACT-AUDIT</t>
  </si>
  <si>
    <t>Bảng agent roles</t>
  </si>
  <si>
    <t>Appraiser, Inquirer, Quality Inspector, Evaluator, Prober</t>
  </si>
  <si>
    <t>T1.4</t>
  </si>
  <si>
    <t>Tóm tắt metrics IMR/JFR/Grade</t>
  </si>
  <si>
    <t>Slide metrics + ví dụ</t>
  </si>
  <si>
    <t>Cần giải thích rõ verdict vs justification</t>
  </si>
  <si>
    <t>T1.5</t>
  </si>
  <si>
    <t>Tóm tắt experiments gốc trong paper</t>
  </si>
  <si>
    <t>Medium</t>
  </si>
  <si>
    <t>Bảng experiments paper</t>
  </si>
  <si>
    <t>Nhấn mạnh không tái lập full 13 LLM</t>
  </si>
  <si>
    <t>T1.6</t>
  </si>
  <si>
    <t>Slides</t>
  </si>
  <si>
    <t>Viết luận điểm vì sao thêm RAG là hợp lý</t>
  </si>
  <si>
    <t>Slide limitation → extension</t>
  </si>
  <si>
    <t>Bám future work/limitation của paper</t>
  </si>
  <si>
    <t>T1.7</t>
  </si>
  <si>
    <t>Soạn storyline slide 1–9</t>
  </si>
  <si>
    <t>Draft slides phần paper</t>
  </si>
  <si>
    <t>Tối đa 9 slide paper</t>
  </si>
  <si>
    <t>T1.8</t>
  </si>
  <si>
    <t>Viết speaker notes phần lý thuyết</t>
  </si>
  <si>
    <t>Script 7 phút</t>
  </si>
  <si>
    <t>Cắt gọn đúng 20 phút toàn nhóm</t>
  </si>
  <si>
    <t>C2.1</t>
  </si>
  <si>
    <t>Code</t>
  </si>
  <si>
    <t>Clone repo FACT-AUDIT và tạo môi trường chạy</t>
  </si>
  <si>
    <t>Repo chạy import được</t>
  </si>
  <si>
    <t>Ghi rõ Python version và lỗi nếu có</t>
  </si>
  <si>
    <t>C2.2</t>
  </si>
  <si>
    <t>Tách API key/model path ra .env/config</t>
  </si>
  <si>
    <t>config.yaml + .env.example</t>
  </si>
  <si>
    <t>Không commit API key</t>
  </si>
  <si>
    <t>C2.3</t>
  </si>
  <si>
    <t>Chạy smoke test 1–3 claims</t>
  </si>
  <si>
    <t>smoke_test.jsonl</t>
  </si>
  <si>
    <t>Pipeline chạy end-to-end hoặc log lỗi rõ ràng</t>
  </si>
  <si>
    <t>C2.3b</t>
  </si>
  <si>
    <t>Integration</t>
  </si>
  <si>
    <t>Chốt output schema baseline cho Cu Ấn</t>
  </si>
  <si>
    <t>schema_baseline.json</t>
  </si>
  <si>
    <t>Bắt buộc để Cu Ấn không bị block</t>
  </si>
  <si>
    <t>C2.4</t>
  </si>
  <si>
    <t>Chạy baseline mini 10–30 claims</t>
  </si>
  <si>
    <t>baseline_results.jsonl</t>
  </si>
  <si>
    <t>Cùng claim set và target model với RAG</t>
  </si>
  <si>
    <t>C2.5</t>
  </si>
  <si>
    <t>Thêm LLM client linh hoạt</t>
  </si>
  <si>
    <t>llm_client.py</t>
  </si>
  <si>
    <t>Hỗ trợ API hoặc local model</t>
  </si>
  <si>
    <t>C2.6</t>
  </si>
  <si>
    <t>Chuẩn hóa output baseline JSONL/CSV</t>
  </si>
  <si>
    <t>scores.csv</t>
  </si>
  <si>
    <t>Cột: claim_id, claim, verdict, justification, score, latency, cost</t>
  </si>
  <si>
    <t>C2.7</t>
  </si>
  <si>
    <t>Demo</t>
  </si>
  <si>
    <t>Tạo script demo baseline ổn định</t>
  </si>
  <si>
    <t>run_baseline_demo.py</t>
  </si>
  <si>
    <t>Có chế độ dùng cached output</t>
  </si>
  <si>
    <t>C2.8</t>
  </si>
  <si>
    <t>Docs</t>
  </si>
  <si>
    <t>Viết README kỹ thuật phần baseline</t>
  </si>
  <si>
    <t>README.md</t>
  </si>
  <si>
    <t>Cách setup, chạy baseline, chạy cached demo</t>
  </si>
  <si>
    <t>I3.1</t>
  </si>
  <si>
    <t>Chốt extension tích hợp: FACT-AUDIT+RAG</t>
  </si>
  <si>
    <t>1 trang proposal extension</t>
  </si>
  <si>
    <t>Extension cắm vào pipeline, không làm rời</t>
  </si>
  <si>
    <t>I3.2</t>
  </si>
  <si>
    <t>Thiết kế sample claims EN/VI dùng chung</t>
  </si>
  <si>
    <t>sample_claims_en/vi.jsonl</t>
  </si>
  <si>
    <t>10–30 claims, ưu tiên dễ demo case study</t>
  </si>
  <si>
    <t>I3.2b</t>
  </si>
  <si>
    <t>Chốt input/output schema cho FACT-AUDIT+RAG</t>
  </si>
  <si>
    <t>schema_rag.json</t>
  </si>
  <si>
    <t>Khớp schema_baseline.json của Mr. Tô</t>
  </si>
  <si>
    <t>I3.3</t>
  </si>
  <si>
    <t>Implement retriever cắm trước target LLM</t>
  </si>
  <si>
    <t>retriever.py</t>
  </si>
  <si>
    <t>Input claim → top-k evidence + source</t>
  </si>
  <si>
    <t>I3.4</t>
  </si>
  <si>
    <t>Implement augmented prompt với evidence</t>
  </si>
  <si>
    <t>run_rag_extension.py</t>
  </si>
  <si>
    <t>Target LLM nhận claim + retrieved evidence</t>
  </si>
  <si>
    <t>I3.5</t>
  </si>
  <si>
    <t>Evaluation</t>
  </si>
  <si>
    <t>Chạy FACT-AUDIT+RAG trên cùng test set</t>
  </si>
  <si>
    <t>rag_results.jsonl</t>
  </si>
  <si>
    <t>Cùng claims, cùng target model với baseline</t>
  </si>
  <si>
    <t>I3.6</t>
  </si>
  <si>
    <t>So sánh baseline vs FACT-AUDIT+RAG</t>
  </si>
  <si>
    <t>comparison.csv + charts</t>
  </si>
  <si>
    <t>Metric: IMR/JFR/Grade/Avg score</t>
  </si>
  <si>
    <t>I3.7</t>
  </si>
  <si>
    <t>Phân tích 3–5 case before/after</t>
  </si>
  <si>
    <t>case_studies.md</t>
  </si>
  <si>
    <t>Mỗi case có claim, evidence, baseline output, RAG output</t>
  </si>
  <si>
    <t>I3.8</t>
  </si>
  <si>
    <t>Tạo visualization cho kết quả so sánh</t>
  </si>
  <si>
    <t>charts hoặc notebook</t>
  </si>
  <si>
    <t>Bar chart baseline vs RAG</t>
  </si>
  <si>
    <t>G4.1</t>
  </si>
  <si>
    <t>Management</t>
  </si>
  <si>
    <t>Chốt scope final: baseline vs FACT-AUDIT+RAG</t>
  </si>
  <si>
    <t>scope.md</t>
  </si>
  <si>
    <t>Không làm extension rời</t>
  </si>
  <si>
    <t>G4.2</t>
  </si>
  <si>
    <t>Review schema baseline ↔ RAG</t>
  </si>
  <si>
    <t>schema review notes</t>
  </si>
  <si>
    <t>Mốc bắt buộc trước khi code song song</t>
  </si>
  <si>
    <t>G4.3</t>
  </si>
  <si>
    <t>Ghép slide v1</t>
  </si>
  <si>
    <t>deck_v1.pptx</t>
  </si>
  <si>
    <t>15–18 slides</t>
  </si>
  <si>
    <t>G4.4</t>
  </si>
  <si>
    <t>Rehearsal lần 1</t>
  </si>
  <si>
    <t>rehearsal_notes.md</t>
  </si>
  <si>
    <t>Dưới 22 phút</t>
  </si>
  <si>
    <t>G4.5</t>
  </si>
  <si>
    <t>Quay video demo backup</t>
  </si>
  <si>
    <t>demo_backup.mp4</t>
  </si>
  <si>
    <t>2–4 phút, mở được</t>
  </si>
  <si>
    <t>G4.6</t>
  </si>
  <si>
    <t>Đóng gói final submission</t>
  </si>
  <si>
    <t>final_package.zip / GitHub release</t>
  </si>
  <si>
    <t>README, slides, outputs mẫu, code</t>
  </si>
  <si>
    <t>G4.7</t>
  </si>
  <si>
    <t>Tổng duyệt final</t>
  </si>
  <si>
    <t>final rehearsal notes</t>
  </si>
  <si>
    <t>Dưới 20 phút, demo OK</t>
  </si>
  <si>
    <t>Acceptance Criteria</t>
  </si>
  <si>
    <t>Deliverable</t>
  </si>
  <si>
    <t>Chọn baseline FACT-AUDIT + FACT-AUDIT+RAG, không tái lập full 13 LLM</t>
  </si>
  <si>
    <t>Chạy 1–3 claims end-to-end hoặc có log lỗi rõ ràng</t>
  </si>
  <si>
    <t>Có tóm tắt method, agent roles, metrics, experiments</t>
  </si>
  <si>
    <t>theory_notes.md</t>
  </si>
  <si>
    <t>Có schema JSONL để Mr. Tô và Cu Ấn code độc lập</t>
  </si>
  <si>
    <t>schema_baseline.json + schema_rag.json</t>
  </si>
  <si>
    <t>Chạy 10–30 claims, xuất đúng schema cho extension</t>
  </si>
  <si>
    <t>baseline_results.jsonl + scores.csv</t>
  </si>
  <si>
    <t>Retriever + augmented prompt chạy với sample/mock output</t>
  </si>
  <si>
    <t>retriever.py + run_rag_extension.py</t>
  </si>
  <si>
    <t>Chạy cùng claim set, cùng target model với baseline</t>
  </si>
  <si>
    <t>Có comparison.csv, chart, 3–5 case studies</t>
  </si>
  <si>
    <t>comparison.csv + case_studies.md</t>
  </si>
  <si>
    <t>M8</t>
  </si>
  <si>
    <t>Slide v1 + rehearsal lần 1</t>
  </si>
  <si>
    <t>Deck 15–18 slide, trình bày dưới 22 phút, demo cached/live</t>
  </si>
  <si>
    <t>deck_v1.pptx + rehearsal notes</t>
  </si>
  <si>
    <t>M9</t>
  </si>
  <si>
    <t>Video demo backup</t>
  </si>
  <si>
    <t>Có video demo 2–4 phút, tránh rủi ro live demo</t>
  </si>
  <si>
    <t>M10</t>
  </si>
  <si>
    <t>Deck final, script final, code đóng gói, README hoàn thiện</t>
  </si>
  <si>
    <t>final package</t>
  </si>
  <si>
    <t>M11</t>
  </si>
  <si>
    <t>Báo cáo cuối kỳ</t>
  </si>
  <si>
    <t>Trình bày 20 phút + demo + Q&amp;A</t>
  </si>
  <si>
    <t>Submission</t>
  </si>
  <si>
    <t>Phase</t>
  </si>
  <si>
    <t>Date range</t>
  </si>
  <si>
    <t>Goal</t>
  </si>
  <si>
    <t>Cả nhóm output</t>
  </si>
  <si>
    <t>Phase 1</t>
  </si>
  <si>
    <t>13/06–28/6</t>
  </si>
  <si>
    <t>Nắm paper + chạy repo + chốt interface</t>
  </si>
  <si>
    <t>Tóm tắt paper, pipeline, agent roles</t>
  </si>
  <si>
    <t>Clone repo, fix config, smoke test, schema baseline</t>
  </si>
  <si>
    <t>Chốt FACT-AUDIT+RAG, sample claims, schema RAG</t>
  </si>
  <si>
    <t>Scope locked + smoke test + schema contract</t>
  </si>
  <si>
    <t>Baseline mini-reproduction + output schema</t>
  </si>
  <si>
    <t>Metrics + experiments paper + draft slide method</t>
  </si>
  <si>
    <t>Chạy 10–30 claims, chuẩn hóa baseline output</t>
  </si>
  <si>
    <t>Code retriever với mock/sample data</t>
  </si>
  <si>
    <t>baseline_results.jsonl + schema ổn định</t>
  </si>
  <si>
    <t>Tích hợp FACT-AUDIT+RAG vào pipeline baseline</t>
  </si>
  <si>
    <t>Draft slides pipeline gốc vs pipeline mới</t>
  </si>
  <si>
    <t>Demo script + cached mode</t>
  </si>
  <si>
    <t>Retriever + augmented prompt + run_rag_extension.py</t>
  </si>
  <si>
    <t>rag_results.jsonl chạy cùng test set</t>
  </si>
  <si>
    <t>Phase 4</t>
  </si>
  <si>
    <t>03/07–07/07</t>
  </si>
  <si>
    <t>So sánh kết quả + slide + rehearsal</t>
  </si>
  <si>
    <t>Speaker notes lý thuyết</t>
  </si>
  <si>
    <t>README kỹ thuật + demo notebooks</t>
  </si>
  <si>
    <t>comparison.csv, charts, case studies</t>
  </si>
  <si>
    <t>Deck v1 + rehearsal notes</t>
  </si>
  <si>
    <t>Phase 5</t>
  </si>
  <si>
    <t>08/07–10/07</t>
  </si>
  <si>
    <t>Đóng gói final</t>
  </si>
  <si>
    <t>Final script nói</t>
  </si>
  <si>
    <t>Final code package</t>
  </si>
  <si>
    <t>Final Q&amp;A + limitations</t>
  </si>
  <si>
    <t>Video demo backup + báo cáo</t>
  </si>
  <si>
    <t>Gantt Checkpoint đơn giản</t>
  </si>
  <si>
    <t>13–18/6</t>
  </si>
  <si>
    <t>19–25/6</t>
  </si>
  <si>
    <t>26/6–2/7</t>
  </si>
  <si>
    <t>3–7/7</t>
  </si>
  <si>
    <t>8–10/7</t>
  </si>
  <si>
    <t>████</t>
  </si>
  <si>
    <t>███</t>
  </si>
  <si>
    <t>██</t>
  </si>
  <si>
    <t>█</t>
  </si>
  <si>
    <t>FACT-AUDIT+RAG</t>
  </si>
  <si>
    <t>Slides/Docs</t>
  </si>
  <si>
    <t>Demo/Rehearsal</t>
  </si>
  <si>
    <t>Section</t>
  </si>
  <si>
    <t>Checklist Item</t>
  </si>
  <si>
    <t>Pass Criteria</t>
  </si>
  <si>
    <t>Setup</t>
  </si>
  <si>
    <t>Có .env.example và config không chứa API key thật</t>
  </si>
  <si>
    <t>Reviewer clone được repo mà không lộ key</t>
  </si>
  <si>
    <t>README setup chạy được từ máy mới</t>
  </si>
  <si>
    <t>Có lệnh setup + run rõ ràng</t>
  </si>
  <si>
    <t>Interface</t>
  </si>
  <si>
    <t>Baseline và RAG dùng cùng schema claim_id</t>
  </si>
  <si>
    <t>Có schema_baseline.json + schema_rag.json</t>
  </si>
  <si>
    <t>Mốc tránh block Cu Ấn</t>
  </si>
  <si>
    <t>Chạy baseline trên 10–30 claims</t>
  </si>
  <si>
    <t>Có baseline_results.jsonl</t>
  </si>
  <si>
    <t>Có bảng score summary baseline</t>
  </si>
  <si>
    <t>Có scores.csv</t>
  </si>
  <si>
    <t>Baseline và RAG dùng cùng claim set</t>
  </si>
  <si>
    <t>Mr. Tô - Code/Reproduction + Cu Ấn - FACT-AUDIT+RAG</t>
  </si>
  <si>
    <t>Cùng claim_id, cùng target model</t>
  </si>
  <si>
    <t>Bắt buộc để so sánh công bằng</t>
  </si>
  <si>
    <t>RAG được cắm trước target LLM</t>
  </si>
  <si>
    <t>Augmented prompt có claim + top-k evidence</t>
  </si>
  <si>
    <t>Extension</t>
  </si>
  <si>
    <t>Retriever lấy được evidence cho mỗi claim</t>
  </si>
  <si>
    <t>Có evidence text + source trong JSONL</t>
  </si>
  <si>
    <t>Target LLM trả lời dựa trên evidence</t>
  </si>
  <si>
    <t>Có rag_verdict + rag_justification</t>
  </si>
  <si>
    <t>Có so sánh baseline vs FACT-AUDIT+RAG</t>
  </si>
  <si>
    <t>Có comparison.csv hoặc chart</t>
  </si>
  <si>
    <t>Có ít nhất 3 case before/after</t>
  </si>
  <si>
    <t>Mỗi case có claim/evidence/baseline/RAG/analysis</t>
  </si>
  <si>
    <t>Vietnamese</t>
  </si>
  <si>
    <t>Có ít nhất 10 claim tiếng Việt hoặc claim Việt Nam</t>
  </si>
  <si>
    <t>Có sample_claims_vi.jsonl</t>
  </si>
  <si>
    <t>Tùy chọn nếu kịp</t>
  </si>
  <si>
    <t>Có sơ đồ pipeline gốc và pipeline FACT-AUDIT+RAG</t>
  </si>
  <si>
    <t>2 sơ đồ dễ hiểu trong deck</t>
  </si>
  <si>
    <t>Live demo 1 claim chạy dưới 2 phút</t>
  </si>
  <si>
    <t>Không vượt thời gian</t>
  </si>
  <si>
    <t>Cached demo hoạt động khi API/GPU lỗi</t>
  </si>
  <si>
    <t>Có flag --use-cache</t>
  </si>
  <si>
    <t>Video backup 2–4 phút</t>
  </si>
  <si>
    <t>File video mở được</t>
  </si>
  <si>
    <t>Rehearsal</t>
  </si>
  <si>
    <t>Rehearsal lần 1 dưới 22 phút</t>
  </si>
  <si>
    <t>Có notes cần sửa</t>
  </si>
  <si>
    <t>Tổng duyệt dưới 20 phút</t>
  </si>
  <si>
    <t>Deck final + demo OK</t>
  </si>
  <si>
    <t>Repo final có README, outputs mẫu, slides</t>
  </si>
  <si>
    <t>Zip/GitHub release đầy đủ</t>
  </si>
  <si>
    <t>Config / Reference</t>
  </si>
  <si>
    <t>Owner list</t>
  </si>
  <si>
    <t>Status list</t>
  </si>
  <si>
    <t>Priority list</t>
  </si>
  <si>
    <t>Workstream list</t>
  </si>
  <si>
    <t>Project</t>
  </si>
  <si>
    <t>FACT-AUDIT+RAG: Evidence-Augmented Adaptive Fact-Checking Audit</t>
  </si>
  <si>
    <t>Extension được tích hợp vào pipeline baseline</t>
  </si>
  <si>
    <t>Course</t>
  </si>
  <si>
    <t>Các mô hình ngôn ngữ lớn và ứng dụng - IT2040.CH201</t>
  </si>
  <si>
    <t>Deadline</t>
  </si>
  <si>
    <t>Ngày báo cáo cuối kỳ</t>
  </si>
  <si>
    <t>Low</t>
  </si>
  <si>
    <t>Presentation length</t>
  </si>
  <si>
    <t>20 phút / nhóm</t>
  </si>
  <si>
    <t>Có slide + demo</t>
  </si>
  <si>
    <t>Recommended scope</t>
  </si>
  <si>
    <t>Baseline FACT-AUDIT + FACT-AUDIT+RAG integrated comparison</t>
  </si>
  <si>
    <t>Không tái lập full 13 LLM</t>
  </si>
  <si>
    <t>Experiment settings</t>
  </si>
  <si>
    <t>Same claim set, same target model, compare baseline vs RAG-augmented pipeline</t>
  </si>
  <si>
    <t>Công bằng khi so sánh</t>
  </si>
  <si>
    <t>Baseline output</t>
  </si>
  <si>
    <t>claim_id, claim, baseline_verdict, baseline_justification, baseline_score</t>
  </si>
  <si>
    <t>RAG output</t>
  </si>
  <si>
    <t>claim_id, claim, retrieved_evidence, rag_verdict, rag_justification, rag_score</t>
  </si>
  <si>
    <t>Comparison output</t>
  </si>
  <si>
    <t>comparison.csv</t>
  </si>
  <si>
    <t>baseline_score vs rag_score, IMR/JFR/Grade</t>
  </si>
  <si>
    <t>Source - arXiv</t>
  </si>
  <si>
    <t>https://arxiv.org/abs/2502.17924</t>
  </si>
  <si>
    <t>Paper</t>
  </si>
  <si>
    <t>Source - ACL Anthology</t>
  </si>
  <si>
    <t>https://aclanthology.org/2025.acl-long.17/</t>
  </si>
  <si>
    <t>Proceedings version</t>
  </si>
  <si>
    <t>Source - GitHub repo</t>
  </si>
  <si>
    <t>https://github.com/DanielLin97/FACT-AUDIT</t>
  </si>
  <si>
    <t>Official source code</t>
  </si>
  <si>
    <t>Source - README</t>
  </si>
  <si>
    <t>https://github.com/DanielLin97/FACT-AUDIT/blob/main/README.md</t>
  </si>
  <si>
    <t>Setup/run instructions</t>
  </si>
  <si>
    <t>Source - requirements</t>
  </si>
  <si>
    <t>https://github.com/DanielLin97/FACT-AUDIT/blob/main/requirements.txt</t>
  </si>
  <si>
    <t>Python dependencies</t>
  </si>
  <si>
    <t>Source - fact-audit.py</t>
  </si>
  <si>
    <t>https://raw.githubusercontent.com/DanielLin97/FACT-AUDIT/main/scripts/fact-audit.py</t>
  </si>
  <si>
    <t>Main script</t>
  </si>
  <si>
    <t>Source - fact-audit.sh</t>
  </si>
  <si>
    <t>https://raw.githubusercontent.com/DanielLin97/FACT-AUDIT/main/scripts/fact-audit.sh</t>
  </si>
  <si>
    <t>Default shell runner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</si>
</sst>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6">
    <font>
      <sz val="11.0"/>
      <color rgb="FF000000"/>
      <name val="Carlito"/>
      <scheme val="minor"/>
    </font>
    <font>
      <b/>
      <sz val="16.0"/>
      <color rgb="FFFFFFFF"/>
      <name val="Carlito"/>
    </font>
    <font>
      <i/>
      <sz val="11.0"/>
      <color theme="1"/>
      <name val="Carlito"/>
    </font>
    <font>
      <b/>
      <sz val="11.0"/>
      <color rgb="FFFFFFFF"/>
      <name val="Carlito"/>
    </font>
    <font>
      <color theme="1"/>
      <name val="Carlito"/>
      <scheme val="minor"/>
    </font>
    <font>
      <sz val="11.0"/>
      <color theme="1"/>
      <name val="Carlito"/>
    </font>
  </fonts>
  <fills count="5">
    <fill>
      <patternFill patternType="none"/>
    </fill>
    <fill>
      <patternFill patternType="lightGray"/>
    </fill>
    <fill>
      <patternFill patternType="solid">
        <fgColor rgb="FF115E59"/>
        <bgColor rgb="FF115E59"/>
      </patternFill>
    </fill>
    <fill>
      <patternFill patternType="solid">
        <fgColor rgb="FFE6FFFA"/>
        <bgColor rgb="FFE6FFFA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3" fontId="2" numFmtId="0" xfId="0" applyAlignment="1" applyFill="1" applyFont="1">
      <alignment shrinkToFit="0" wrapText="1"/>
    </xf>
    <xf borderId="0" fillId="2" fontId="3" numFmtId="0" xfId="0" applyAlignment="1" applyFont="1">
      <alignment shrinkToFit="0" wrapText="1"/>
    </xf>
    <xf borderId="0" fillId="0" fontId="4" numFmtId="0" xfId="0" applyFont="1"/>
    <xf borderId="0" fillId="0" fontId="5" numFmtId="9" xfId="0" applyFont="1" applyNumberFormat="1"/>
    <xf borderId="0" fillId="0" fontId="5" numFmtId="1" xfId="0" applyFont="1" applyNumberFormat="1"/>
    <xf borderId="0" fillId="0" fontId="4" numFmtId="0" xfId="0" applyAlignment="1" applyFont="1">
      <alignment readingOrder="0"/>
    </xf>
    <xf borderId="0" fillId="2" fontId="3" numFmtId="164" xfId="0" applyAlignment="1" applyFont="1" applyNumberFormat="1">
      <alignment shrinkToFit="0" wrapText="1"/>
    </xf>
    <xf borderId="0" fillId="2" fontId="3" numFmtId="9" xfId="0" applyAlignment="1" applyFont="1" applyNumberFormat="1">
      <alignment shrinkToFit="0" wrapText="1"/>
    </xf>
    <xf borderId="0" fillId="2" fontId="3" numFmtId="1" xfId="0" applyAlignment="1" applyFont="1" applyNumberFormat="1">
      <alignment shrinkToFit="0" wrapText="1"/>
    </xf>
    <xf borderId="0" fillId="0" fontId="4" numFmtId="14" xfId="0" applyFont="1" applyNumberFormat="1"/>
    <xf borderId="0" fillId="2" fontId="3" numFmtId="0" xfId="0" applyAlignment="1" applyFont="1">
      <alignment readingOrder="0" shrinkToFit="0" wrapText="1"/>
    </xf>
    <xf borderId="0" fillId="4" fontId="4" numFmtId="0" xfId="0" applyAlignment="1" applyFill="1" applyFont="1">
      <alignment readingOrder="0"/>
    </xf>
    <xf borderId="0" fillId="4" fontId="4" numFmtId="0" xfId="0" applyFont="1"/>
    <xf borderId="0" fillId="0" fontId="5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0"/>
    <col customWidth="1" min="2" max="2" width="16.0"/>
    <col customWidth="1" min="3" max="3" width="35.75"/>
    <col customWidth="1" min="4" max="4" width="22.75"/>
    <col customWidth="1" min="5" max="6" width="16.0"/>
    <col customWidth="1" min="7" max="7" width="8.63"/>
    <col customWidth="1" min="8" max="8" width="18.0"/>
    <col customWidth="1" min="9" max="9" width="42.0"/>
    <col customWidth="1" min="10" max="26" width="8.63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>
      <c r="A2" s="2" t="s">
        <v>1</v>
      </c>
    </row>
    <row r="4">
      <c r="A4" s="3" t="s">
        <v>2</v>
      </c>
      <c r="B4" s="3" t="s">
        <v>3</v>
      </c>
      <c r="C4" s="3" t="s">
        <v>4</v>
      </c>
      <c r="E4" s="3" t="s">
        <v>5</v>
      </c>
      <c r="F4" s="3" t="s">
        <v>6</v>
      </c>
      <c r="H4" s="3" t="s">
        <v>7</v>
      </c>
      <c r="I4" s="3"/>
    </row>
    <row r="5">
      <c r="A5" s="4" t="s">
        <v>8</v>
      </c>
      <c r="B5" s="4">
        <f>COUNTA(PhanCong!A2:A100)</f>
        <v>33</v>
      </c>
      <c r="C5" s="4" t="s">
        <v>9</v>
      </c>
      <c r="E5" s="4" t="s">
        <v>10</v>
      </c>
      <c r="F5" s="4">
        <f>COUNTIF(PhanCong!H:H,E5)</f>
        <v>29</v>
      </c>
      <c r="H5" s="4" t="s">
        <v>11</v>
      </c>
      <c r="I5" s="4" t="s">
        <v>12</v>
      </c>
    </row>
    <row r="6">
      <c r="A6" s="4" t="s">
        <v>13</v>
      </c>
      <c r="B6" s="4">
        <f>COUNTIF(PhanCong!H:H,"Done")</f>
        <v>0</v>
      </c>
      <c r="C6" s="4" t="s">
        <v>14</v>
      </c>
      <c r="E6" s="4" t="s">
        <v>15</v>
      </c>
      <c r="F6" s="4">
        <f>COUNTIF(PhanCong!H:H,E6)</f>
        <v>4</v>
      </c>
      <c r="H6" s="4" t="s">
        <v>16</v>
      </c>
      <c r="I6" s="4" t="s">
        <v>17</v>
      </c>
    </row>
    <row r="7">
      <c r="A7" s="4" t="s">
        <v>18</v>
      </c>
      <c r="B7" s="4">
        <f>COUNTIF(PhanCong!H:H,"In Progress")+COUNTIF(PhanCong!H:H,"Review")</f>
        <v>4</v>
      </c>
      <c r="C7" s="4" t="s">
        <v>19</v>
      </c>
      <c r="E7" s="4" t="s">
        <v>20</v>
      </c>
      <c r="F7" s="4">
        <f>COUNTIF(PhanCong!H:H,E7)</f>
        <v>0</v>
      </c>
      <c r="H7" s="4" t="s">
        <v>21</v>
      </c>
      <c r="I7" s="4" t="s">
        <v>22</v>
      </c>
    </row>
    <row r="8">
      <c r="A8" s="4" t="s">
        <v>23</v>
      </c>
      <c r="B8" s="4">
        <f>COUNTIF(PhanCong!H:H,"Blocked")</f>
        <v>0</v>
      </c>
      <c r="C8" s="4" t="s">
        <v>24</v>
      </c>
      <c r="E8" s="4" t="s">
        <v>25</v>
      </c>
      <c r="F8" s="4">
        <f>COUNTIF(PhanCong!H:H,E8)</f>
        <v>0</v>
      </c>
      <c r="H8" s="4" t="s">
        <v>26</v>
      </c>
      <c r="I8" s="4" t="s">
        <v>27</v>
      </c>
    </row>
    <row r="9">
      <c r="A9" s="4" t="s">
        <v>28</v>
      </c>
      <c r="B9" s="5">
        <f>AVERAGE(PhanCong!I2:I100)</f>
        <v>0.06060606061</v>
      </c>
      <c r="C9" s="4" t="s">
        <v>29</v>
      </c>
      <c r="E9" s="4" t="s">
        <v>30</v>
      </c>
      <c r="F9" s="4">
        <f>COUNTIF(PhanCong!H:H,E9)</f>
        <v>0</v>
      </c>
      <c r="H9" s="4" t="s">
        <v>31</v>
      </c>
      <c r="I9" s="4" t="s">
        <v>32</v>
      </c>
    </row>
    <row r="10">
      <c r="A10" s="4" t="s">
        <v>33</v>
      </c>
      <c r="B10" s="6">
        <f>Refs_Config!B4-TODAY()</f>
        <v>23</v>
      </c>
      <c r="C10" s="4" t="s">
        <v>34</v>
      </c>
      <c r="H10" s="4" t="s">
        <v>35</v>
      </c>
      <c r="I10" s="4" t="s">
        <v>36</v>
      </c>
    </row>
    <row r="11">
      <c r="A11" s="4" t="s">
        <v>37</v>
      </c>
      <c r="B11" s="4" t="str">
        <f>IF(AND(COUNTIFS(PhanCong!A:A,"C2.3b",PhanCong!H:H,"Done")&gt;0,COUNTIFS(PhanCong!A:A,"I3.2b",PhanCong!H:H,"Done")&gt;0),"Done","Pending")</f>
        <v>Pending</v>
      </c>
      <c r="C11" s="4" t="s">
        <v>38</v>
      </c>
    </row>
    <row r="12">
      <c r="A12" s="4" t="s">
        <v>39</v>
      </c>
      <c r="B12" s="4" t="str">
        <f>IF(COUNTIFS(PhanCong!A:A,"C2.4",PhanCong!H:H,"Done")&gt;0,"Done","Pending")</f>
        <v>Pending</v>
      </c>
      <c r="C12" s="4" t="s">
        <v>40</v>
      </c>
    </row>
    <row r="13">
      <c r="A13" s="4" t="s">
        <v>41</v>
      </c>
      <c r="B13" s="4" t="str">
        <f>IF(COUNTIFS(PhanCong!A:A,"I3.5",PhanCong!H:H,"Done")&gt;0,"Done","Pending")</f>
        <v>Pending</v>
      </c>
      <c r="C13" s="4" t="s">
        <v>42</v>
      </c>
    </row>
    <row r="14">
      <c r="A14" s="4" t="s">
        <v>43</v>
      </c>
      <c r="B14" s="4" t="str">
        <f>IF(COUNTIFS(PhanCong!A:A,"I3.6",PhanCong!H:H,"Done")&gt;0,"Done","Pending")</f>
        <v>Pending</v>
      </c>
      <c r="C14" s="4" t="s">
        <v>44</v>
      </c>
    </row>
    <row r="16">
      <c r="A16" s="3" t="s">
        <v>45</v>
      </c>
      <c r="B16" s="3" t="s">
        <v>46</v>
      </c>
      <c r="C16" s="3" t="s">
        <v>30</v>
      </c>
      <c r="D16" s="3" t="s">
        <v>47</v>
      </c>
      <c r="E16" s="3" t="s">
        <v>25</v>
      </c>
      <c r="F16" s="3" t="s">
        <v>48</v>
      </c>
    </row>
    <row r="17">
      <c r="A17" s="7" t="s">
        <v>49</v>
      </c>
      <c r="B17" s="4">
        <f>COUNTIF(PhanCong!D:D,A17)</f>
        <v>0</v>
      </c>
      <c r="C17" s="4">
        <f>COUNTIFS(PhanCong!D:D,A17,PhanCong!H:H,"Done")</f>
        <v>0</v>
      </c>
      <c r="D17" s="4">
        <f>COUNTIFS(PhanCong!D:D,A17,PhanCong!H:H,"In Progress")+COUNTIFS(PhanCong!D:D,A17,PhanCong!H:H,"Review")</f>
        <v>0</v>
      </c>
      <c r="E17" s="4">
        <f>COUNTIFS(PhanCong!D:D,A17,PhanCong!H:H,"Blocked")</f>
        <v>0</v>
      </c>
      <c r="F17" s="5">
        <f>IFERROR(AVERAGEIF(PhanCong!D:D,A17,PhanCong!I:I),0)</f>
        <v>0</v>
      </c>
    </row>
    <row r="18">
      <c r="A18" s="7" t="s">
        <v>50</v>
      </c>
      <c r="B18" s="4">
        <f>COUNTIF(PhanCong!D:D,A18)</f>
        <v>9</v>
      </c>
      <c r="C18" s="4">
        <f>COUNTIFS(PhanCong!D:D,A18,PhanCong!H:H,"Done")</f>
        <v>0</v>
      </c>
      <c r="D18" s="4">
        <f>COUNTIFS(PhanCong!D:D,A18,PhanCong!H:H,"In Progress")+COUNTIFS(PhanCong!D:D,A18,PhanCong!H:H,"Review")</f>
        <v>1</v>
      </c>
      <c r="E18" s="4">
        <f>COUNTIFS(PhanCong!D:D,A18,PhanCong!H:H,"Blocked")</f>
        <v>0</v>
      </c>
      <c r="F18" s="5">
        <f>IFERROR(AVERAGEIF(PhanCong!D:D,A18,PhanCong!I:I),0)</f>
        <v>0.05555555556</v>
      </c>
    </row>
    <row r="19">
      <c r="A19" s="7" t="s">
        <v>51</v>
      </c>
      <c r="B19" s="4">
        <f>COUNTIF(PhanCong!D:D,A19)</f>
        <v>9</v>
      </c>
      <c r="C19" s="4">
        <f>COUNTIFS(PhanCong!D:D,A19,PhanCong!H:H,"Done")</f>
        <v>0</v>
      </c>
      <c r="D19" s="4">
        <f>COUNTIFS(PhanCong!D:D,A19,PhanCong!H:H,"In Progress")+COUNTIFS(PhanCong!D:D,A19,PhanCong!H:H,"Review")</f>
        <v>1</v>
      </c>
      <c r="E19" s="4">
        <f>COUNTIFS(PhanCong!D:D,A19,PhanCong!H:H,"Blocked")</f>
        <v>0</v>
      </c>
      <c r="F19" s="5">
        <f>IFERROR(AVERAGEIF(PhanCong!D:D,A19,PhanCong!I:I),0)</f>
        <v>0.05555555556</v>
      </c>
    </row>
    <row r="20">
      <c r="A20" s="4" t="s">
        <v>52</v>
      </c>
      <c r="B20" s="4">
        <f>COUNTIF(PhanCong!D:D,A20)</f>
        <v>7</v>
      </c>
      <c r="C20" s="4">
        <f>COUNTIFS(PhanCong!D:D,A20,PhanCong!H:H,"Done")</f>
        <v>0</v>
      </c>
      <c r="D20" s="4">
        <f>COUNTIFS(PhanCong!D:D,A20,PhanCong!H:H,"In Progress")+COUNTIFS(PhanCong!D:D,A20,PhanCong!H:H,"Review")</f>
        <v>1</v>
      </c>
      <c r="E20" s="4">
        <f>COUNTIFS(PhanCong!D:D,A20,PhanCong!H:H,"Blocked")</f>
        <v>0</v>
      </c>
      <c r="F20" s="5">
        <f>IFERROR(AVERAGEIF(PhanCong!D:D,A20,PhanCong!I:I),0)</f>
        <v>0.07142857143</v>
      </c>
    </row>
    <row r="21" ht="15.75" customHeight="1"/>
    <row r="22" ht="15.75" customHeight="1">
      <c r="A22" s="4" t="s">
        <v>53</v>
      </c>
    </row>
    <row r="23" ht="15.75" customHeight="1">
      <c r="A23" s="3" t="s">
        <v>54</v>
      </c>
      <c r="B23" s="3" t="s">
        <v>55</v>
      </c>
      <c r="C23" s="3" t="s">
        <v>56</v>
      </c>
      <c r="D23" s="3" t="s">
        <v>45</v>
      </c>
      <c r="E23" s="3" t="s">
        <v>5</v>
      </c>
      <c r="F23" s="3" t="s">
        <v>57</v>
      </c>
    </row>
    <row r="24" ht="15.75" customHeight="1">
      <c r="A24" s="4" t="s">
        <v>58</v>
      </c>
      <c r="B24" s="4">
        <v>46187.0</v>
      </c>
      <c r="C24" s="4" t="s">
        <v>59</v>
      </c>
      <c r="D24" s="4" t="s">
        <v>52</v>
      </c>
      <c r="E24" s="4" t="s">
        <v>15</v>
      </c>
      <c r="F24" s="4" t="str">
        <f t="shared" ref="F24:F31" si="1">IF(E24="Done","Done",IF(E24="Blocked","Blocked",IF(B24-TODAY()&lt;0,"Overdue",IF(B24-TODAY()&lt;=2,"Due soon","OK"))))</f>
        <v>Overdue</v>
      </c>
    </row>
    <row r="25" ht="15.75" customHeight="1">
      <c r="A25" s="4" t="s">
        <v>60</v>
      </c>
      <c r="B25" s="4">
        <v>46190.0</v>
      </c>
      <c r="C25" s="4" t="s">
        <v>61</v>
      </c>
      <c r="D25" s="7" t="s">
        <v>50</v>
      </c>
      <c r="E25" s="4" t="s">
        <v>10</v>
      </c>
      <c r="F25" s="4" t="str">
        <f t="shared" si="1"/>
        <v>Due soon</v>
      </c>
    </row>
    <row r="26" ht="15.75" customHeight="1">
      <c r="A26" s="4" t="s">
        <v>62</v>
      </c>
      <c r="B26" s="4">
        <v>46193.0</v>
      </c>
      <c r="C26" s="4" t="s">
        <v>63</v>
      </c>
      <c r="D26" s="7" t="s">
        <v>64</v>
      </c>
      <c r="E26" s="4" t="s">
        <v>10</v>
      </c>
      <c r="F26" s="4" t="str">
        <f t="shared" si="1"/>
        <v>OK</v>
      </c>
    </row>
    <row r="27" ht="15.75" customHeight="1">
      <c r="A27" s="4" t="s">
        <v>65</v>
      </c>
      <c r="B27" s="4">
        <v>46191.0</v>
      </c>
      <c r="C27" s="4" t="s">
        <v>66</v>
      </c>
      <c r="D27" s="4" t="s">
        <v>52</v>
      </c>
      <c r="E27" s="4" t="s">
        <v>10</v>
      </c>
      <c r="F27" s="4" t="str">
        <f t="shared" si="1"/>
        <v>Due soon</v>
      </c>
    </row>
    <row r="28" ht="15.75" customHeight="1">
      <c r="A28" s="4" t="s">
        <v>67</v>
      </c>
      <c r="B28" s="4">
        <v>46197.0</v>
      </c>
      <c r="C28" s="4" t="s">
        <v>68</v>
      </c>
      <c r="D28" s="7" t="s">
        <v>50</v>
      </c>
      <c r="E28" s="4" t="s">
        <v>10</v>
      </c>
      <c r="F28" s="4" t="str">
        <f t="shared" si="1"/>
        <v>OK</v>
      </c>
    </row>
    <row r="29" ht="15.75" customHeight="1">
      <c r="A29" s="4" t="s">
        <v>69</v>
      </c>
      <c r="B29" s="4">
        <v>46201.0</v>
      </c>
      <c r="C29" s="4" t="s">
        <v>70</v>
      </c>
      <c r="D29" s="7" t="s">
        <v>51</v>
      </c>
      <c r="E29" s="4" t="s">
        <v>10</v>
      </c>
      <c r="F29" s="4" t="str">
        <f t="shared" si="1"/>
        <v>OK</v>
      </c>
    </row>
    <row r="30" ht="15.75" customHeight="1">
      <c r="A30" s="4" t="s">
        <v>71</v>
      </c>
      <c r="B30" s="4">
        <v>46205.0</v>
      </c>
      <c r="C30" s="4" t="s">
        <v>72</v>
      </c>
      <c r="D30" s="7" t="s">
        <v>51</v>
      </c>
      <c r="E30" s="4" t="s">
        <v>10</v>
      </c>
      <c r="F30" s="4" t="str">
        <f t="shared" si="1"/>
        <v>OK</v>
      </c>
    </row>
    <row r="31" ht="15.75" customHeight="1">
      <c r="A31" s="4" t="s">
        <v>73</v>
      </c>
      <c r="B31" s="4">
        <v>46208.0</v>
      </c>
      <c r="C31" s="4" t="s">
        <v>74</v>
      </c>
      <c r="D31" s="7" t="s">
        <v>51</v>
      </c>
      <c r="E31" s="4" t="s">
        <v>10</v>
      </c>
      <c r="F31" s="4" t="str">
        <f t="shared" si="1"/>
        <v>OK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:I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14.0"/>
    <col customWidth="1" min="3" max="3" width="38.0"/>
    <col customWidth="1" min="4" max="4" width="28.0"/>
    <col customWidth="1" min="5" max="7" width="12.0"/>
    <col customWidth="1" min="8" max="8" width="14.0"/>
    <col customWidth="1" min="9" max="9" width="10.0"/>
    <col customWidth="1" min="10" max="10" width="28.0"/>
    <col customWidth="1" min="11" max="11" width="42.0"/>
    <col customWidth="1" min="12" max="13" width="12.0"/>
    <col customWidth="1" min="14" max="26" width="8.63"/>
  </cols>
  <sheetData>
    <row r="1">
      <c r="A1" s="3" t="s">
        <v>54</v>
      </c>
      <c r="B1" s="3" t="s">
        <v>75</v>
      </c>
      <c r="C1" s="3" t="s">
        <v>76</v>
      </c>
      <c r="D1" s="3" t="s">
        <v>45</v>
      </c>
      <c r="E1" s="3" t="s">
        <v>77</v>
      </c>
      <c r="F1" s="8" t="s">
        <v>78</v>
      </c>
      <c r="G1" s="8" t="s">
        <v>79</v>
      </c>
      <c r="H1" s="3" t="s">
        <v>5</v>
      </c>
      <c r="I1" s="9" t="s">
        <v>80</v>
      </c>
      <c r="J1" s="3" t="s">
        <v>81</v>
      </c>
      <c r="K1" s="3" t="s">
        <v>82</v>
      </c>
      <c r="L1" s="10" t="s">
        <v>83</v>
      </c>
      <c r="M1" s="3" t="s">
        <v>57</v>
      </c>
    </row>
    <row r="2">
      <c r="A2" s="4" t="s">
        <v>84</v>
      </c>
      <c r="B2" s="4" t="s">
        <v>85</v>
      </c>
      <c r="C2" s="4" t="s">
        <v>86</v>
      </c>
      <c r="D2" s="7" t="s">
        <v>64</v>
      </c>
      <c r="E2" s="4" t="s">
        <v>87</v>
      </c>
      <c r="F2" s="4">
        <v>46186.0</v>
      </c>
      <c r="G2" s="4">
        <v>46188.0</v>
      </c>
      <c r="H2" s="4" t="s">
        <v>15</v>
      </c>
      <c r="I2" s="4">
        <f t="shared" ref="I2:I34" si="1">SWITCH(H2,"Done",1,"Review",0.8,"In Progress",0.5,"Blocked",0.1,0)</f>
        <v>0.5</v>
      </c>
      <c r="J2" s="4" t="s">
        <v>88</v>
      </c>
      <c r="K2" s="4" t="s">
        <v>89</v>
      </c>
      <c r="L2" s="11">
        <f t="shared" ref="L2:L34" si="2">G2-TODAY()</f>
        <v>-2</v>
      </c>
      <c r="M2" s="4" t="str">
        <f t="shared" ref="M2:M34" si="3">IF(H2="Done","Done",IF(H2="Blocked","Blocked",IF(L2&lt;0,"Overdue",IF(L2&lt;=2,"Due soon","OK"))))</f>
        <v>Overdue</v>
      </c>
    </row>
    <row r="3">
      <c r="A3" s="4" t="s">
        <v>90</v>
      </c>
      <c r="B3" s="4" t="s">
        <v>85</v>
      </c>
      <c r="C3" s="4" t="s">
        <v>91</v>
      </c>
      <c r="D3" s="7" t="s">
        <v>64</v>
      </c>
      <c r="E3" s="4" t="s">
        <v>87</v>
      </c>
      <c r="F3" s="4">
        <v>46187.0</v>
      </c>
      <c r="G3" s="4">
        <v>46189.0</v>
      </c>
      <c r="H3" s="4" t="s">
        <v>10</v>
      </c>
      <c r="I3" s="4">
        <f t="shared" si="1"/>
        <v>0</v>
      </c>
      <c r="J3" s="4" t="s">
        <v>92</v>
      </c>
      <c r="K3" s="4" t="s">
        <v>93</v>
      </c>
      <c r="L3" s="11">
        <f t="shared" si="2"/>
        <v>-1</v>
      </c>
      <c r="M3" s="4" t="str">
        <f t="shared" si="3"/>
        <v>Overdue</v>
      </c>
    </row>
    <row r="4">
      <c r="A4" s="4" t="s">
        <v>94</v>
      </c>
      <c r="B4" s="4" t="s">
        <v>85</v>
      </c>
      <c r="C4" s="4" t="s">
        <v>95</v>
      </c>
      <c r="D4" s="7" t="s">
        <v>64</v>
      </c>
      <c r="E4" s="4" t="s">
        <v>87</v>
      </c>
      <c r="F4" s="4">
        <v>46188.0</v>
      </c>
      <c r="G4" s="4">
        <v>46190.0</v>
      </c>
      <c r="H4" s="4" t="s">
        <v>10</v>
      </c>
      <c r="I4" s="4">
        <f t="shared" si="1"/>
        <v>0</v>
      </c>
      <c r="J4" s="4" t="s">
        <v>96</v>
      </c>
      <c r="K4" s="4" t="s">
        <v>97</v>
      </c>
      <c r="L4" s="11">
        <f t="shared" si="2"/>
        <v>0</v>
      </c>
      <c r="M4" s="4" t="str">
        <f t="shared" si="3"/>
        <v>Due soon</v>
      </c>
    </row>
    <row r="5">
      <c r="A5" s="4" t="s">
        <v>98</v>
      </c>
      <c r="B5" s="4" t="s">
        <v>85</v>
      </c>
      <c r="C5" s="4" t="s">
        <v>99</v>
      </c>
      <c r="D5" s="7" t="s">
        <v>64</v>
      </c>
      <c r="E5" s="4" t="s">
        <v>87</v>
      </c>
      <c r="F5" s="4">
        <v>46189.0</v>
      </c>
      <c r="G5" s="4">
        <v>46191.0</v>
      </c>
      <c r="H5" s="4" t="s">
        <v>10</v>
      </c>
      <c r="I5" s="4">
        <f t="shared" si="1"/>
        <v>0</v>
      </c>
      <c r="J5" s="4" t="s">
        <v>100</v>
      </c>
      <c r="K5" s="4" t="s">
        <v>101</v>
      </c>
      <c r="L5" s="11">
        <f t="shared" si="2"/>
        <v>1</v>
      </c>
      <c r="M5" s="4" t="str">
        <f t="shared" si="3"/>
        <v>Due soon</v>
      </c>
    </row>
    <row r="6">
      <c r="A6" s="4" t="s">
        <v>102</v>
      </c>
      <c r="B6" s="4" t="s">
        <v>85</v>
      </c>
      <c r="C6" s="4" t="s">
        <v>103</v>
      </c>
      <c r="D6" s="7" t="s">
        <v>64</v>
      </c>
      <c r="E6" s="4" t="s">
        <v>104</v>
      </c>
      <c r="F6" s="4">
        <v>46190.0</v>
      </c>
      <c r="G6" s="4">
        <v>46194.0</v>
      </c>
      <c r="H6" s="4" t="s">
        <v>10</v>
      </c>
      <c r="I6" s="4">
        <f t="shared" si="1"/>
        <v>0</v>
      </c>
      <c r="J6" s="4" t="s">
        <v>105</v>
      </c>
      <c r="K6" s="4" t="s">
        <v>106</v>
      </c>
      <c r="L6" s="11">
        <f t="shared" si="2"/>
        <v>4</v>
      </c>
      <c r="M6" s="4" t="str">
        <f t="shared" si="3"/>
        <v>OK</v>
      </c>
    </row>
    <row r="7">
      <c r="A7" s="4" t="s">
        <v>107</v>
      </c>
      <c r="B7" s="4" t="s">
        <v>108</v>
      </c>
      <c r="C7" s="4" t="s">
        <v>109</v>
      </c>
      <c r="D7" s="7" t="s">
        <v>64</v>
      </c>
      <c r="E7" s="4" t="s">
        <v>87</v>
      </c>
      <c r="F7" s="4">
        <v>46192.0</v>
      </c>
      <c r="G7" s="4">
        <v>46197.0</v>
      </c>
      <c r="H7" s="4" t="s">
        <v>10</v>
      </c>
      <c r="I7" s="4">
        <f t="shared" si="1"/>
        <v>0</v>
      </c>
      <c r="J7" s="4" t="s">
        <v>110</v>
      </c>
      <c r="K7" s="4" t="s">
        <v>111</v>
      </c>
      <c r="L7" s="11">
        <f t="shared" si="2"/>
        <v>7</v>
      </c>
      <c r="M7" s="4" t="str">
        <f t="shared" si="3"/>
        <v>OK</v>
      </c>
    </row>
    <row r="8">
      <c r="A8" s="4" t="s">
        <v>112</v>
      </c>
      <c r="B8" s="4" t="s">
        <v>108</v>
      </c>
      <c r="C8" s="4" t="s">
        <v>113</v>
      </c>
      <c r="D8" s="7" t="s">
        <v>64</v>
      </c>
      <c r="E8" s="4" t="s">
        <v>87</v>
      </c>
      <c r="F8" s="4">
        <v>46195.0</v>
      </c>
      <c r="G8" s="4">
        <v>46201.0</v>
      </c>
      <c r="H8" s="4" t="s">
        <v>10</v>
      </c>
      <c r="I8" s="4">
        <f t="shared" si="1"/>
        <v>0</v>
      </c>
      <c r="J8" s="4" t="s">
        <v>114</v>
      </c>
      <c r="K8" s="4" t="s">
        <v>115</v>
      </c>
      <c r="L8" s="11">
        <f t="shared" si="2"/>
        <v>11</v>
      </c>
      <c r="M8" s="4" t="str">
        <f t="shared" si="3"/>
        <v>OK</v>
      </c>
    </row>
    <row r="9">
      <c r="A9" s="4" t="s">
        <v>116</v>
      </c>
      <c r="B9" s="4" t="s">
        <v>108</v>
      </c>
      <c r="C9" s="4" t="s">
        <v>117</v>
      </c>
      <c r="D9" s="7" t="s">
        <v>64</v>
      </c>
      <c r="E9" s="4" t="s">
        <v>104</v>
      </c>
      <c r="F9" s="4">
        <v>46204.0</v>
      </c>
      <c r="G9" s="4">
        <v>46208.0</v>
      </c>
      <c r="H9" s="4" t="s">
        <v>10</v>
      </c>
      <c r="I9" s="4">
        <f t="shared" si="1"/>
        <v>0</v>
      </c>
      <c r="J9" s="4" t="s">
        <v>118</v>
      </c>
      <c r="K9" s="4" t="s">
        <v>119</v>
      </c>
      <c r="L9" s="11">
        <f t="shared" si="2"/>
        <v>18</v>
      </c>
      <c r="M9" s="4" t="str">
        <f t="shared" si="3"/>
        <v>OK</v>
      </c>
    </row>
    <row r="10">
      <c r="A10" s="4" t="s">
        <v>120</v>
      </c>
      <c r="B10" s="4" t="s">
        <v>121</v>
      </c>
      <c r="C10" s="4" t="s">
        <v>122</v>
      </c>
      <c r="D10" s="7" t="s">
        <v>50</v>
      </c>
      <c r="E10" s="4" t="s">
        <v>87</v>
      </c>
      <c r="F10" s="4">
        <v>46186.0</v>
      </c>
      <c r="G10" s="4">
        <v>46188.0</v>
      </c>
      <c r="H10" s="4" t="s">
        <v>15</v>
      </c>
      <c r="I10" s="4">
        <f t="shared" si="1"/>
        <v>0.5</v>
      </c>
      <c r="J10" s="4" t="s">
        <v>123</v>
      </c>
      <c r="K10" s="4" t="s">
        <v>124</v>
      </c>
      <c r="L10" s="11">
        <f t="shared" si="2"/>
        <v>-2</v>
      </c>
      <c r="M10" s="4" t="str">
        <f t="shared" si="3"/>
        <v>Overdue</v>
      </c>
    </row>
    <row r="11">
      <c r="A11" s="4" t="s">
        <v>125</v>
      </c>
      <c r="B11" s="4" t="s">
        <v>121</v>
      </c>
      <c r="C11" s="4" t="s">
        <v>126</v>
      </c>
      <c r="D11" s="7" t="s">
        <v>50</v>
      </c>
      <c r="E11" s="4" t="s">
        <v>87</v>
      </c>
      <c r="F11" s="4">
        <v>46187.0</v>
      </c>
      <c r="G11" s="4">
        <v>46190.0</v>
      </c>
      <c r="H11" s="4" t="s">
        <v>10</v>
      </c>
      <c r="I11" s="4">
        <f t="shared" si="1"/>
        <v>0</v>
      </c>
      <c r="J11" s="4" t="s">
        <v>127</v>
      </c>
      <c r="K11" s="4" t="s">
        <v>128</v>
      </c>
      <c r="L11" s="11">
        <f t="shared" si="2"/>
        <v>0</v>
      </c>
      <c r="M11" s="4" t="str">
        <f t="shared" si="3"/>
        <v>Due soon</v>
      </c>
    </row>
    <row r="12">
      <c r="A12" s="4" t="s">
        <v>129</v>
      </c>
      <c r="B12" s="4" t="s">
        <v>121</v>
      </c>
      <c r="C12" s="4" t="s">
        <v>130</v>
      </c>
      <c r="D12" s="7" t="s">
        <v>50</v>
      </c>
      <c r="E12" s="4" t="s">
        <v>87</v>
      </c>
      <c r="F12" s="4">
        <v>46189.0</v>
      </c>
      <c r="G12" s="4">
        <v>46190.0</v>
      </c>
      <c r="H12" s="4" t="s">
        <v>10</v>
      </c>
      <c r="I12" s="4">
        <f t="shared" si="1"/>
        <v>0</v>
      </c>
      <c r="J12" s="4" t="s">
        <v>131</v>
      </c>
      <c r="K12" s="4" t="s">
        <v>132</v>
      </c>
      <c r="L12" s="11">
        <f t="shared" si="2"/>
        <v>0</v>
      </c>
      <c r="M12" s="4" t="str">
        <f t="shared" si="3"/>
        <v>Due soon</v>
      </c>
    </row>
    <row r="13">
      <c r="A13" s="4" t="s">
        <v>133</v>
      </c>
      <c r="B13" s="4" t="s">
        <v>134</v>
      </c>
      <c r="C13" s="7" t="s">
        <v>135</v>
      </c>
      <c r="D13" s="7" t="s">
        <v>50</v>
      </c>
      <c r="E13" s="4" t="s">
        <v>87</v>
      </c>
      <c r="F13" s="4">
        <v>46189.0</v>
      </c>
      <c r="G13" s="4">
        <v>46191.0</v>
      </c>
      <c r="H13" s="4" t="s">
        <v>10</v>
      </c>
      <c r="I13" s="4">
        <f t="shared" si="1"/>
        <v>0</v>
      </c>
      <c r="J13" s="4" t="s">
        <v>136</v>
      </c>
      <c r="K13" s="7" t="s">
        <v>137</v>
      </c>
      <c r="L13" s="11">
        <f t="shared" si="2"/>
        <v>1</v>
      </c>
      <c r="M13" s="4" t="str">
        <f t="shared" si="3"/>
        <v>Due soon</v>
      </c>
    </row>
    <row r="14">
      <c r="A14" s="4" t="s">
        <v>138</v>
      </c>
      <c r="B14" s="4" t="s">
        <v>121</v>
      </c>
      <c r="C14" s="4" t="s">
        <v>139</v>
      </c>
      <c r="D14" s="7" t="s">
        <v>50</v>
      </c>
      <c r="E14" s="4" t="s">
        <v>87</v>
      </c>
      <c r="F14" s="4">
        <v>46192.0</v>
      </c>
      <c r="G14" s="4">
        <v>46198.0</v>
      </c>
      <c r="H14" s="4" t="s">
        <v>10</v>
      </c>
      <c r="I14" s="4">
        <f t="shared" si="1"/>
        <v>0</v>
      </c>
      <c r="J14" s="4" t="s">
        <v>140</v>
      </c>
      <c r="K14" s="4" t="s">
        <v>141</v>
      </c>
      <c r="L14" s="11">
        <f t="shared" si="2"/>
        <v>8</v>
      </c>
      <c r="M14" s="4" t="str">
        <f t="shared" si="3"/>
        <v>OK</v>
      </c>
    </row>
    <row r="15">
      <c r="A15" s="4" t="s">
        <v>142</v>
      </c>
      <c r="B15" s="4" t="s">
        <v>121</v>
      </c>
      <c r="C15" s="4" t="s">
        <v>143</v>
      </c>
      <c r="D15" s="7" t="s">
        <v>50</v>
      </c>
      <c r="E15" s="4" t="s">
        <v>87</v>
      </c>
      <c r="F15" s="4">
        <v>46192.0</v>
      </c>
      <c r="G15" s="4">
        <v>46200.0</v>
      </c>
      <c r="H15" s="4" t="s">
        <v>10</v>
      </c>
      <c r="I15" s="4">
        <f t="shared" si="1"/>
        <v>0</v>
      </c>
      <c r="J15" s="4" t="s">
        <v>144</v>
      </c>
      <c r="K15" s="4" t="s">
        <v>145</v>
      </c>
      <c r="L15" s="11">
        <f t="shared" si="2"/>
        <v>10</v>
      </c>
      <c r="M15" s="4" t="str">
        <f t="shared" si="3"/>
        <v>OK</v>
      </c>
    </row>
    <row r="16">
      <c r="A16" s="4" t="s">
        <v>146</v>
      </c>
      <c r="B16" s="4" t="s">
        <v>121</v>
      </c>
      <c r="C16" s="4" t="s">
        <v>147</v>
      </c>
      <c r="D16" s="7" t="s">
        <v>50</v>
      </c>
      <c r="E16" s="4" t="s">
        <v>87</v>
      </c>
      <c r="F16" s="4">
        <v>46196.0</v>
      </c>
      <c r="G16" s="4">
        <v>46201.0</v>
      </c>
      <c r="H16" s="4" t="s">
        <v>10</v>
      </c>
      <c r="I16" s="4">
        <f t="shared" si="1"/>
        <v>0</v>
      </c>
      <c r="J16" s="4" t="s">
        <v>148</v>
      </c>
      <c r="K16" s="4" t="s">
        <v>149</v>
      </c>
      <c r="L16" s="11">
        <f t="shared" si="2"/>
        <v>11</v>
      </c>
      <c r="M16" s="4" t="str">
        <f t="shared" si="3"/>
        <v>OK</v>
      </c>
    </row>
    <row r="17">
      <c r="A17" s="4" t="s">
        <v>150</v>
      </c>
      <c r="B17" s="4" t="s">
        <v>151</v>
      </c>
      <c r="C17" s="4" t="s">
        <v>152</v>
      </c>
      <c r="D17" s="7" t="s">
        <v>50</v>
      </c>
      <c r="E17" s="4" t="s">
        <v>87</v>
      </c>
      <c r="F17" s="4">
        <v>46204.0</v>
      </c>
      <c r="G17" s="4">
        <v>46208.0</v>
      </c>
      <c r="H17" s="4" t="s">
        <v>10</v>
      </c>
      <c r="I17" s="4">
        <f t="shared" si="1"/>
        <v>0</v>
      </c>
      <c r="J17" s="4" t="s">
        <v>153</v>
      </c>
      <c r="K17" s="4" t="s">
        <v>154</v>
      </c>
      <c r="L17" s="11">
        <f t="shared" si="2"/>
        <v>18</v>
      </c>
      <c r="M17" s="4" t="str">
        <f t="shared" si="3"/>
        <v>OK</v>
      </c>
    </row>
    <row r="18">
      <c r="A18" s="4" t="s">
        <v>155</v>
      </c>
      <c r="B18" s="4" t="s">
        <v>156</v>
      </c>
      <c r="C18" s="4" t="s">
        <v>157</v>
      </c>
      <c r="D18" s="7" t="s">
        <v>50</v>
      </c>
      <c r="E18" s="4" t="s">
        <v>104</v>
      </c>
      <c r="F18" s="4">
        <v>46206.0</v>
      </c>
      <c r="G18" s="4">
        <v>46210.0</v>
      </c>
      <c r="H18" s="4" t="s">
        <v>10</v>
      </c>
      <c r="I18" s="4">
        <f t="shared" si="1"/>
        <v>0</v>
      </c>
      <c r="J18" s="4" t="s">
        <v>158</v>
      </c>
      <c r="K18" s="4" t="s">
        <v>159</v>
      </c>
      <c r="L18" s="11">
        <f t="shared" si="2"/>
        <v>20</v>
      </c>
      <c r="M18" s="4" t="str">
        <f t="shared" si="3"/>
        <v>OK</v>
      </c>
    </row>
    <row r="19">
      <c r="A19" s="4" t="s">
        <v>160</v>
      </c>
      <c r="B19" s="4" t="s">
        <v>16</v>
      </c>
      <c r="C19" s="4" t="s">
        <v>161</v>
      </c>
      <c r="D19" s="7" t="s">
        <v>51</v>
      </c>
      <c r="E19" s="4" t="s">
        <v>87</v>
      </c>
      <c r="F19" s="4">
        <v>46186.0</v>
      </c>
      <c r="G19" s="4">
        <v>46188.0</v>
      </c>
      <c r="H19" s="4" t="s">
        <v>15</v>
      </c>
      <c r="I19" s="4">
        <f t="shared" si="1"/>
        <v>0.5</v>
      </c>
      <c r="J19" s="4" t="s">
        <v>162</v>
      </c>
      <c r="K19" s="4" t="s">
        <v>163</v>
      </c>
      <c r="L19" s="11">
        <f t="shared" si="2"/>
        <v>-2</v>
      </c>
      <c r="M19" s="4" t="str">
        <f t="shared" si="3"/>
        <v>Overdue</v>
      </c>
    </row>
    <row r="20">
      <c r="A20" s="4" t="s">
        <v>164</v>
      </c>
      <c r="B20" s="4" t="s">
        <v>16</v>
      </c>
      <c r="C20" s="4" t="s">
        <v>165</v>
      </c>
      <c r="D20" s="7" t="s">
        <v>51</v>
      </c>
      <c r="E20" s="4" t="s">
        <v>87</v>
      </c>
      <c r="F20" s="4">
        <v>46188.0</v>
      </c>
      <c r="G20" s="4">
        <v>46192.0</v>
      </c>
      <c r="H20" s="4" t="s">
        <v>10</v>
      </c>
      <c r="I20" s="4">
        <f t="shared" si="1"/>
        <v>0</v>
      </c>
      <c r="J20" s="4" t="s">
        <v>166</v>
      </c>
      <c r="K20" s="4" t="s">
        <v>167</v>
      </c>
      <c r="L20" s="11">
        <f t="shared" si="2"/>
        <v>2</v>
      </c>
      <c r="M20" s="4" t="str">
        <f t="shared" si="3"/>
        <v>Due soon</v>
      </c>
    </row>
    <row r="21" ht="15.75" customHeight="1">
      <c r="A21" s="4" t="s">
        <v>168</v>
      </c>
      <c r="B21" s="4" t="s">
        <v>134</v>
      </c>
      <c r="C21" s="4" t="s">
        <v>169</v>
      </c>
      <c r="D21" s="7" t="s">
        <v>51</v>
      </c>
      <c r="E21" s="4" t="s">
        <v>87</v>
      </c>
      <c r="F21" s="4">
        <v>46189.0</v>
      </c>
      <c r="G21" s="4">
        <v>46191.0</v>
      </c>
      <c r="H21" s="4" t="s">
        <v>10</v>
      </c>
      <c r="I21" s="4">
        <f t="shared" si="1"/>
        <v>0</v>
      </c>
      <c r="J21" s="4" t="s">
        <v>170</v>
      </c>
      <c r="K21" s="7" t="s">
        <v>171</v>
      </c>
      <c r="L21" s="11">
        <f t="shared" si="2"/>
        <v>1</v>
      </c>
      <c r="M21" s="4" t="str">
        <f t="shared" si="3"/>
        <v>Due soon</v>
      </c>
    </row>
    <row r="22" ht="15.75" customHeight="1">
      <c r="A22" s="4" t="s">
        <v>172</v>
      </c>
      <c r="B22" s="4" t="s">
        <v>16</v>
      </c>
      <c r="C22" s="4" t="s">
        <v>173</v>
      </c>
      <c r="D22" s="7" t="s">
        <v>51</v>
      </c>
      <c r="E22" s="4" t="s">
        <v>87</v>
      </c>
      <c r="F22" s="4">
        <v>46193.0</v>
      </c>
      <c r="G22" s="4">
        <v>46199.0</v>
      </c>
      <c r="H22" s="4" t="s">
        <v>10</v>
      </c>
      <c r="I22" s="4">
        <f t="shared" si="1"/>
        <v>0</v>
      </c>
      <c r="J22" s="4" t="s">
        <v>174</v>
      </c>
      <c r="K22" s="4" t="s">
        <v>175</v>
      </c>
      <c r="L22" s="11">
        <f t="shared" si="2"/>
        <v>9</v>
      </c>
      <c r="M22" s="4" t="str">
        <f t="shared" si="3"/>
        <v>OK</v>
      </c>
    </row>
    <row r="23" ht="15.75" customHeight="1">
      <c r="A23" s="4" t="s">
        <v>176</v>
      </c>
      <c r="B23" s="4" t="s">
        <v>16</v>
      </c>
      <c r="C23" s="4" t="s">
        <v>177</v>
      </c>
      <c r="D23" s="7" t="s">
        <v>51</v>
      </c>
      <c r="E23" s="4" t="s">
        <v>87</v>
      </c>
      <c r="F23" s="4">
        <v>46196.0</v>
      </c>
      <c r="G23" s="4">
        <v>46202.0</v>
      </c>
      <c r="H23" s="4" t="s">
        <v>10</v>
      </c>
      <c r="I23" s="4">
        <f t="shared" si="1"/>
        <v>0</v>
      </c>
      <c r="J23" s="4" t="s">
        <v>178</v>
      </c>
      <c r="K23" s="4" t="s">
        <v>179</v>
      </c>
      <c r="L23" s="11">
        <f t="shared" si="2"/>
        <v>12</v>
      </c>
      <c r="M23" s="4" t="str">
        <f t="shared" si="3"/>
        <v>OK</v>
      </c>
    </row>
    <row r="24" ht="15.75" customHeight="1">
      <c r="A24" s="4" t="s">
        <v>180</v>
      </c>
      <c r="B24" s="4" t="s">
        <v>181</v>
      </c>
      <c r="C24" s="4" t="s">
        <v>182</v>
      </c>
      <c r="D24" s="7" t="s">
        <v>51</v>
      </c>
      <c r="E24" s="4" t="s">
        <v>87</v>
      </c>
      <c r="F24" s="4">
        <v>46200.0</v>
      </c>
      <c r="G24" s="4">
        <v>46205.0</v>
      </c>
      <c r="H24" s="4" t="s">
        <v>10</v>
      </c>
      <c r="I24" s="4">
        <f t="shared" si="1"/>
        <v>0</v>
      </c>
      <c r="J24" s="4" t="s">
        <v>183</v>
      </c>
      <c r="K24" s="4" t="s">
        <v>184</v>
      </c>
      <c r="L24" s="11">
        <f t="shared" si="2"/>
        <v>15</v>
      </c>
      <c r="M24" s="4" t="str">
        <f t="shared" si="3"/>
        <v>OK</v>
      </c>
    </row>
    <row r="25" ht="15.75" customHeight="1">
      <c r="A25" s="4" t="s">
        <v>185</v>
      </c>
      <c r="B25" s="4" t="s">
        <v>181</v>
      </c>
      <c r="C25" s="4" t="s">
        <v>186</v>
      </c>
      <c r="D25" s="7" t="s">
        <v>51</v>
      </c>
      <c r="E25" s="4" t="s">
        <v>87</v>
      </c>
      <c r="F25" s="4">
        <v>46204.0</v>
      </c>
      <c r="G25" s="4">
        <v>46207.0</v>
      </c>
      <c r="H25" s="4" t="s">
        <v>10</v>
      </c>
      <c r="I25" s="4">
        <f t="shared" si="1"/>
        <v>0</v>
      </c>
      <c r="J25" s="4" t="s">
        <v>187</v>
      </c>
      <c r="K25" s="4" t="s">
        <v>188</v>
      </c>
      <c r="L25" s="11">
        <f t="shared" si="2"/>
        <v>17</v>
      </c>
      <c r="M25" s="4" t="str">
        <f t="shared" si="3"/>
        <v>OK</v>
      </c>
    </row>
    <row r="26" ht="15.75" customHeight="1">
      <c r="A26" s="4" t="s">
        <v>189</v>
      </c>
      <c r="B26" s="4" t="s">
        <v>181</v>
      </c>
      <c r="C26" s="4" t="s">
        <v>190</v>
      </c>
      <c r="D26" s="7" t="s">
        <v>51</v>
      </c>
      <c r="E26" s="4" t="s">
        <v>87</v>
      </c>
      <c r="F26" s="4">
        <v>46206.0</v>
      </c>
      <c r="G26" s="4">
        <v>46209.0</v>
      </c>
      <c r="H26" s="4" t="s">
        <v>10</v>
      </c>
      <c r="I26" s="4">
        <f t="shared" si="1"/>
        <v>0</v>
      </c>
      <c r="J26" s="4" t="s">
        <v>191</v>
      </c>
      <c r="K26" s="4" t="s">
        <v>192</v>
      </c>
      <c r="L26" s="11">
        <f t="shared" si="2"/>
        <v>19</v>
      </c>
      <c r="M26" s="4" t="str">
        <f t="shared" si="3"/>
        <v>OK</v>
      </c>
    </row>
    <row r="27" ht="15.75" customHeight="1">
      <c r="A27" s="4" t="s">
        <v>193</v>
      </c>
      <c r="B27" s="4" t="s">
        <v>151</v>
      </c>
      <c r="C27" s="4" t="s">
        <v>194</v>
      </c>
      <c r="D27" s="7" t="s">
        <v>51</v>
      </c>
      <c r="E27" s="4" t="s">
        <v>104</v>
      </c>
      <c r="F27" s="4">
        <v>46206.0</v>
      </c>
      <c r="G27" s="4">
        <v>46210.0</v>
      </c>
      <c r="H27" s="4" t="s">
        <v>10</v>
      </c>
      <c r="I27" s="4">
        <f t="shared" si="1"/>
        <v>0</v>
      </c>
      <c r="J27" s="4" t="s">
        <v>195</v>
      </c>
      <c r="K27" s="4" t="s">
        <v>196</v>
      </c>
      <c r="L27" s="11">
        <f t="shared" si="2"/>
        <v>20</v>
      </c>
      <c r="M27" s="4" t="str">
        <f t="shared" si="3"/>
        <v>OK</v>
      </c>
    </row>
    <row r="28" ht="15.75" customHeight="1">
      <c r="A28" s="4" t="s">
        <v>197</v>
      </c>
      <c r="B28" s="4" t="s">
        <v>198</v>
      </c>
      <c r="C28" s="4" t="s">
        <v>199</v>
      </c>
      <c r="D28" s="4" t="s">
        <v>52</v>
      </c>
      <c r="E28" s="4" t="s">
        <v>87</v>
      </c>
      <c r="F28" s="4">
        <v>46186.0</v>
      </c>
      <c r="G28" s="4">
        <v>46188.0</v>
      </c>
      <c r="H28" s="4" t="s">
        <v>15</v>
      </c>
      <c r="I28" s="4">
        <f t="shared" si="1"/>
        <v>0.5</v>
      </c>
      <c r="J28" s="4" t="s">
        <v>200</v>
      </c>
      <c r="K28" s="4" t="s">
        <v>201</v>
      </c>
      <c r="L28" s="11">
        <f t="shared" si="2"/>
        <v>-2</v>
      </c>
      <c r="M28" s="4" t="str">
        <f t="shared" si="3"/>
        <v>Overdue</v>
      </c>
    </row>
    <row r="29" ht="15.75" customHeight="1">
      <c r="A29" s="4" t="s">
        <v>202</v>
      </c>
      <c r="B29" s="4" t="s">
        <v>134</v>
      </c>
      <c r="C29" s="4" t="s">
        <v>203</v>
      </c>
      <c r="D29" s="4" t="s">
        <v>52</v>
      </c>
      <c r="E29" s="4" t="s">
        <v>87</v>
      </c>
      <c r="F29" s="4">
        <v>46191.0</v>
      </c>
      <c r="G29" s="4">
        <v>46191.0</v>
      </c>
      <c r="H29" s="4" t="s">
        <v>10</v>
      </c>
      <c r="I29" s="4">
        <f t="shared" si="1"/>
        <v>0</v>
      </c>
      <c r="J29" s="4" t="s">
        <v>204</v>
      </c>
      <c r="K29" s="4" t="s">
        <v>205</v>
      </c>
      <c r="L29" s="11">
        <f t="shared" si="2"/>
        <v>1</v>
      </c>
      <c r="M29" s="4" t="str">
        <f t="shared" si="3"/>
        <v>Due soon</v>
      </c>
    </row>
    <row r="30" ht="15.75" customHeight="1">
      <c r="A30" s="4" t="s">
        <v>206</v>
      </c>
      <c r="B30" s="4" t="s">
        <v>108</v>
      </c>
      <c r="C30" s="4" t="s">
        <v>207</v>
      </c>
      <c r="D30" s="4" t="s">
        <v>52</v>
      </c>
      <c r="E30" s="4" t="s">
        <v>87</v>
      </c>
      <c r="F30" s="4">
        <v>46206.0</v>
      </c>
      <c r="G30" s="4">
        <v>46209.0</v>
      </c>
      <c r="H30" s="4" t="s">
        <v>10</v>
      </c>
      <c r="I30" s="4">
        <f t="shared" si="1"/>
        <v>0</v>
      </c>
      <c r="J30" s="4" t="s">
        <v>208</v>
      </c>
      <c r="K30" s="4" t="s">
        <v>209</v>
      </c>
      <c r="L30" s="11">
        <f t="shared" si="2"/>
        <v>19</v>
      </c>
      <c r="M30" s="4" t="str">
        <f t="shared" si="3"/>
        <v>OK</v>
      </c>
    </row>
    <row r="31" ht="15.75" customHeight="1">
      <c r="A31" s="4" t="s">
        <v>210</v>
      </c>
      <c r="B31" s="4" t="s">
        <v>151</v>
      </c>
      <c r="C31" s="4" t="s">
        <v>211</v>
      </c>
      <c r="D31" s="4" t="s">
        <v>52</v>
      </c>
      <c r="E31" s="4" t="s">
        <v>87</v>
      </c>
      <c r="F31" s="4">
        <v>46209.0</v>
      </c>
      <c r="G31" s="4">
        <v>46209.0</v>
      </c>
      <c r="H31" s="4" t="s">
        <v>10</v>
      </c>
      <c r="I31" s="4">
        <f t="shared" si="1"/>
        <v>0</v>
      </c>
      <c r="J31" s="4" t="s">
        <v>212</v>
      </c>
      <c r="K31" s="4" t="s">
        <v>213</v>
      </c>
      <c r="L31" s="11">
        <f t="shared" si="2"/>
        <v>19</v>
      </c>
      <c r="M31" s="4" t="str">
        <f t="shared" si="3"/>
        <v>OK</v>
      </c>
    </row>
    <row r="32" ht="15.75" customHeight="1">
      <c r="A32" s="4" t="s">
        <v>214</v>
      </c>
      <c r="B32" s="4" t="s">
        <v>151</v>
      </c>
      <c r="C32" s="4" t="s">
        <v>215</v>
      </c>
      <c r="D32" s="4" t="s">
        <v>52</v>
      </c>
      <c r="E32" s="4" t="s">
        <v>87</v>
      </c>
      <c r="F32" s="4">
        <v>46211.0</v>
      </c>
      <c r="G32" s="4">
        <v>46211.0</v>
      </c>
      <c r="H32" s="4" t="s">
        <v>10</v>
      </c>
      <c r="I32" s="4">
        <f t="shared" si="1"/>
        <v>0</v>
      </c>
      <c r="J32" s="4" t="s">
        <v>216</v>
      </c>
      <c r="K32" s="4" t="s">
        <v>217</v>
      </c>
      <c r="L32" s="11">
        <f t="shared" si="2"/>
        <v>21</v>
      </c>
      <c r="M32" s="4" t="str">
        <f t="shared" si="3"/>
        <v>OK</v>
      </c>
    </row>
    <row r="33" ht="15.75" customHeight="1">
      <c r="A33" s="4" t="s">
        <v>218</v>
      </c>
      <c r="B33" s="4" t="s">
        <v>156</v>
      </c>
      <c r="C33" s="4" t="s">
        <v>219</v>
      </c>
      <c r="D33" s="4" t="s">
        <v>52</v>
      </c>
      <c r="E33" s="4" t="s">
        <v>87</v>
      </c>
      <c r="F33" s="4">
        <v>46212.0</v>
      </c>
      <c r="G33" s="4">
        <v>46212.0</v>
      </c>
      <c r="H33" s="4" t="s">
        <v>10</v>
      </c>
      <c r="I33" s="4">
        <f t="shared" si="1"/>
        <v>0</v>
      </c>
      <c r="J33" s="4" t="s">
        <v>220</v>
      </c>
      <c r="K33" s="4" t="s">
        <v>221</v>
      </c>
      <c r="L33" s="11">
        <f t="shared" si="2"/>
        <v>22</v>
      </c>
      <c r="M33" s="4" t="str">
        <f t="shared" si="3"/>
        <v>OK</v>
      </c>
    </row>
    <row r="34" ht="15.75" customHeight="1">
      <c r="A34" s="4" t="s">
        <v>222</v>
      </c>
      <c r="B34" s="4" t="s">
        <v>151</v>
      </c>
      <c r="C34" s="4" t="s">
        <v>223</v>
      </c>
      <c r="D34" s="4" t="s">
        <v>52</v>
      </c>
      <c r="E34" s="4" t="s">
        <v>87</v>
      </c>
      <c r="F34" s="4">
        <v>46212.0</v>
      </c>
      <c r="G34" s="4">
        <v>46212.0</v>
      </c>
      <c r="H34" s="4" t="s">
        <v>10</v>
      </c>
      <c r="I34" s="4">
        <f t="shared" si="1"/>
        <v>0</v>
      </c>
      <c r="J34" s="4" t="s">
        <v>224</v>
      </c>
      <c r="K34" s="4" t="s">
        <v>225</v>
      </c>
      <c r="L34" s="11">
        <f t="shared" si="2"/>
        <v>22</v>
      </c>
      <c r="M34" s="4" t="str">
        <f t="shared" si="3"/>
        <v>OK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2.0"/>
    <col customWidth="1" min="3" max="3" width="34.0"/>
    <col customWidth="1" min="4" max="4" width="28.0"/>
    <col customWidth="1" min="5" max="5" width="48.0"/>
    <col customWidth="1" min="6" max="6" width="14.0"/>
    <col customWidth="1" min="7" max="7" width="34.0"/>
    <col customWidth="1" min="8" max="9" width="12.0"/>
    <col customWidth="1" min="10" max="26" width="8.63"/>
  </cols>
  <sheetData>
    <row r="1">
      <c r="A1" s="3" t="s">
        <v>54</v>
      </c>
      <c r="B1" s="8" t="s">
        <v>55</v>
      </c>
      <c r="C1" s="3" t="s">
        <v>56</v>
      </c>
      <c r="D1" s="3" t="s">
        <v>45</v>
      </c>
      <c r="E1" s="3" t="s">
        <v>226</v>
      </c>
      <c r="F1" s="3" t="s">
        <v>5</v>
      </c>
      <c r="G1" s="3" t="s">
        <v>227</v>
      </c>
      <c r="H1" s="10" t="s">
        <v>83</v>
      </c>
      <c r="I1" s="3" t="s">
        <v>57</v>
      </c>
    </row>
    <row r="2">
      <c r="A2" s="4" t="s">
        <v>58</v>
      </c>
      <c r="B2" s="4">
        <v>46187.0</v>
      </c>
      <c r="C2" s="4" t="s">
        <v>59</v>
      </c>
      <c r="D2" s="4" t="s">
        <v>52</v>
      </c>
      <c r="E2" s="4" t="s">
        <v>228</v>
      </c>
      <c r="F2" s="4" t="s">
        <v>15</v>
      </c>
      <c r="G2" s="4" t="s">
        <v>200</v>
      </c>
      <c r="H2" s="11">
        <f t="shared" ref="H2:H13" si="1">B2-TODAY()</f>
        <v>-3</v>
      </c>
      <c r="I2" s="4" t="str">
        <f t="shared" ref="I2:I13" si="2">IF(F2="Done","Done",IF(F2="Blocked","Blocked",IF(H2&lt;0,"Overdue",IF(H2&lt;=2,"Due soon","OK"))))</f>
        <v>Overdue</v>
      </c>
    </row>
    <row r="3">
      <c r="A3" s="4" t="s">
        <v>60</v>
      </c>
      <c r="B3" s="4">
        <v>46190.0</v>
      </c>
      <c r="C3" s="4" t="s">
        <v>61</v>
      </c>
      <c r="D3" s="7" t="s">
        <v>50</v>
      </c>
      <c r="E3" s="4" t="s">
        <v>229</v>
      </c>
      <c r="F3" s="4" t="s">
        <v>10</v>
      </c>
      <c r="G3" s="4" t="s">
        <v>131</v>
      </c>
      <c r="H3" s="11">
        <f t="shared" si="1"/>
        <v>0</v>
      </c>
      <c r="I3" s="4" t="str">
        <f t="shared" si="2"/>
        <v>Due soon</v>
      </c>
    </row>
    <row r="4">
      <c r="A4" s="4" t="s">
        <v>62</v>
      </c>
      <c r="B4" s="4">
        <v>46193.0</v>
      </c>
      <c r="C4" s="4" t="s">
        <v>63</v>
      </c>
      <c r="D4" s="7" t="s">
        <v>64</v>
      </c>
      <c r="E4" s="4" t="s">
        <v>230</v>
      </c>
      <c r="F4" s="4" t="s">
        <v>10</v>
      </c>
      <c r="G4" s="4" t="s">
        <v>231</v>
      </c>
      <c r="H4" s="11">
        <f t="shared" si="1"/>
        <v>3</v>
      </c>
      <c r="I4" s="4" t="str">
        <f t="shared" si="2"/>
        <v>OK</v>
      </c>
    </row>
    <row r="5">
      <c r="A5" s="4" t="s">
        <v>65</v>
      </c>
      <c r="B5" s="4">
        <v>46191.0</v>
      </c>
      <c r="C5" s="4" t="s">
        <v>66</v>
      </c>
      <c r="D5" s="4" t="s">
        <v>52</v>
      </c>
      <c r="E5" s="7" t="s">
        <v>232</v>
      </c>
      <c r="F5" s="4" t="s">
        <v>10</v>
      </c>
      <c r="G5" s="4" t="s">
        <v>233</v>
      </c>
      <c r="H5" s="11">
        <f t="shared" si="1"/>
        <v>1</v>
      </c>
      <c r="I5" s="4" t="str">
        <f t="shared" si="2"/>
        <v>Due soon</v>
      </c>
    </row>
    <row r="6">
      <c r="A6" s="4" t="s">
        <v>67</v>
      </c>
      <c r="B6" s="4">
        <v>46197.0</v>
      </c>
      <c r="C6" s="4" t="s">
        <v>68</v>
      </c>
      <c r="D6" s="7" t="s">
        <v>50</v>
      </c>
      <c r="E6" s="4" t="s">
        <v>234</v>
      </c>
      <c r="F6" s="4" t="s">
        <v>10</v>
      </c>
      <c r="G6" s="4" t="s">
        <v>235</v>
      </c>
      <c r="H6" s="11">
        <f t="shared" si="1"/>
        <v>7</v>
      </c>
      <c r="I6" s="4" t="str">
        <f t="shared" si="2"/>
        <v>OK</v>
      </c>
    </row>
    <row r="7">
      <c r="A7" s="4" t="s">
        <v>69</v>
      </c>
      <c r="B7" s="4">
        <v>46201.0</v>
      </c>
      <c r="C7" s="4" t="s">
        <v>70</v>
      </c>
      <c r="D7" s="7" t="s">
        <v>51</v>
      </c>
      <c r="E7" s="4" t="s">
        <v>236</v>
      </c>
      <c r="F7" s="4" t="s">
        <v>10</v>
      </c>
      <c r="G7" s="4" t="s">
        <v>237</v>
      </c>
      <c r="H7" s="11">
        <f t="shared" si="1"/>
        <v>11</v>
      </c>
      <c r="I7" s="4" t="str">
        <f t="shared" si="2"/>
        <v>OK</v>
      </c>
    </row>
    <row r="8">
      <c r="A8" s="4" t="s">
        <v>71</v>
      </c>
      <c r="B8" s="4">
        <v>46205.0</v>
      </c>
      <c r="C8" s="4" t="s">
        <v>72</v>
      </c>
      <c r="D8" s="7" t="s">
        <v>51</v>
      </c>
      <c r="E8" s="4" t="s">
        <v>238</v>
      </c>
      <c r="F8" s="4" t="s">
        <v>10</v>
      </c>
      <c r="G8" s="4" t="s">
        <v>183</v>
      </c>
      <c r="H8" s="11">
        <f t="shared" si="1"/>
        <v>15</v>
      </c>
      <c r="I8" s="4" t="str">
        <f t="shared" si="2"/>
        <v>OK</v>
      </c>
    </row>
    <row r="9">
      <c r="A9" s="4" t="s">
        <v>73</v>
      </c>
      <c r="B9" s="4">
        <v>46208.0</v>
      </c>
      <c r="C9" s="4" t="s">
        <v>74</v>
      </c>
      <c r="D9" s="7" t="s">
        <v>51</v>
      </c>
      <c r="E9" s="4" t="s">
        <v>239</v>
      </c>
      <c r="F9" s="4" t="s">
        <v>10</v>
      </c>
      <c r="G9" s="4" t="s">
        <v>240</v>
      </c>
      <c r="H9" s="11">
        <f t="shared" si="1"/>
        <v>18</v>
      </c>
      <c r="I9" s="4" t="str">
        <f t="shared" si="2"/>
        <v>OK</v>
      </c>
    </row>
    <row r="10">
      <c r="A10" s="4" t="s">
        <v>241</v>
      </c>
      <c r="B10" s="4">
        <v>46210.0</v>
      </c>
      <c r="C10" s="4" t="s">
        <v>242</v>
      </c>
      <c r="D10" s="4" t="s">
        <v>52</v>
      </c>
      <c r="E10" s="4" t="s">
        <v>243</v>
      </c>
      <c r="F10" s="4" t="s">
        <v>10</v>
      </c>
      <c r="G10" s="4" t="s">
        <v>244</v>
      </c>
      <c r="H10" s="11">
        <f t="shared" si="1"/>
        <v>20</v>
      </c>
      <c r="I10" s="4" t="str">
        <f t="shared" si="2"/>
        <v>OK</v>
      </c>
    </row>
    <row r="11">
      <c r="A11" s="4" t="s">
        <v>245</v>
      </c>
      <c r="B11" s="4">
        <v>46211.0</v>
      </c>
      <c r="C11" s="4" t="s">
        <v>246</v>
      </c>
      <c r="D11" s="4" t="s">
        <v>52</v>
      </c>
      <c r="E11" s="4" t="s">
        <v>247</v>
      </c>
      <c r="F11" s="4" t="s">
        <v>10</v>
      </c>
      <c r="G11" s="4" t="s">
        <v>216</v>
      </c>
      <c r="H11" s="11">
        <f t="shared" si="1"/>
        <v>21</v>
      </c>
      <c r="I11" s="4" t="str">
        <f t="shared" si="2"/>
        <v>OK</v>
      </c>
    </row>
    <row r="12">
      <c r="A12" s="4" t="s">
        <v>248</v>
      </c>
      <c r="B12" s="4">
        <v>46212.0</v>
      </c>
      <c r="C12" s="4" t="s">
        <v>223</v>
      </c>
      <c r="D12" s="4" t="s">
        <v>52</v>
      </c>
      <c r="E12" s="4" t="s">
        <v>249</v>
      </c>
      <c r="F12" s="4" t="s">
        <v>10</v>
      </c>
      <c r="G12" s="4" t="s">
        <v>250</v>
      </c>
      <c r="H12" s="11">
        <f t="shared" si="1"/>
        <v>22</v>
      </c>
      <c r="I12" s="4" t="str">
        <f t="shared" si="2"/>
        <v>OK</v>
      </c>
    </row>
    <row r="13">
      <c r="A13" s="4" t="s">
        <v>251</v>
      </c>
      <c r="B13" s="4">
        <v>46213.0</v>
      </c>
      <c r="C13" s="4" t="s">
        <v>252</v>
      </c>
      <c r="D13" s="4" t="s">
        <v>52</v>
      </c>
      <c r="E13" s="4" t="s">
        <v>253</v>
      </c>
      <c r="F13" s="4" t="s">
        <v>10</v>
      </c>
      <c r="G13" s="4" t="s">
        <v>254</v>
      </c>
      <c r="H13" s="11">
        <f t="shared" si="1"/>
        <v>23</v>
      </c>
      <c r="I13" s="4" t="str">
        <f t="shared" si="2"/>
        <v>OK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88"/>
    <col customWidth="1" min="2" max="2" width="22.88"/>
    <col customWidth="1" min="3" max="3" width="39.25"/>
    <col customWidth="1" min="4" max="4" width="44.0"/>
    <col customWidth="1" min="5" max="5" width="56.13"/>
    <col customWidth="1" min="6" max="6" width="61.63"/>
    <col customWidth="1" min="7" max="7" width="53.63"/>
    <col customWidth="1" min="8" max="26" width="8.63"/>
  </cols>
  <sheetData>
    <row r="1">
      <c r="A1" s="3" t="s">
        <v>255</v>
      </c>
      <c r="B1" s="3" t="s">
        <v>256</v>
      </c>
      <c r="C1" s="3" t="s">
        <v>257</v>
      </c>
      <c r="D1" s="12" t="s">
        <v>64</v>
      </c>
      <c r="E1" s="12" t="s">
        <v>50</v>
      </c>
      <c r="F1" s="12" t="s">
        <v>51</v>
      </c>
      <c r="G1" s="3" t="s">
        <v>258</v>
      </c>
    </row>
    <row r="2">
      <c r="A2" s="13" t="s">
        <v>259</v>
      </c>
      <c r="B2" s="13" t="s">
        <v>260</v>
      </c>
      <c r="C2" s="14" t="s">
        <v>261</v>
      </c>
      <c r="D2" s="14" t="s">
        <v>262</v>
      </c>
      <c r="E2" s="14" t="s">
        <v>263</v>
      </c>
      <c r="F2" s="14" t="s">
        <v>264</v>
      </c>
      <c r="G2" s="14" t="s">
        <v>265</v>
      </c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C3" s="14" t="s">
        <v>266</v>
      </c>
      <c r="D3" s="14" t="s">
        <v>267</v>
      </c>
      <c r="E3" s="14" t="s">
        <v>268</v>
      </c>
      <c r="F3" s="14" t="s">
        <v>269</v>
      </c>
      <c r="G3" s="14" t="s">
        <v>270</v>
      </c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C4" s="14" t="s">
        <v>271</v>
      </c>
      <c r="D4" s="14" t="s">
        <v>272</v>
      </c>
      <c r="E4" s="14" t="s">
        <v>273</v>
      </c>
      <c r="F4" s="14" t="s">
        <v>274</v>
      </c>
      <c r="G4" s="14" t="s">
        <v>275</v>
      </c>
    </row>
    <row r="5">
      <c r="A5" s="4" t="s">
        <v>276</v>
      </c>
      <c r="B5" s="4" t="s">
        <v>277</v>
      </c>
      <c r="C5" s="4" t="s">
        <v>278</v>
      </c>
      <c r="D5" s="4" t="s">
        <v>279</v>
      </c>
      <c r="E5" s="4" t="s">
        <v>280</v>
      </c>
      <c r="F5" s="4" t="s">
        <v>281</v>
      </c>
      <c r="G5" s="4" t="s">
        <v>282</v>
      </c>
    </row>
    <row r="6">
      <c r="A6" s="4" t="s">
        <v>283</v>
      </c>
      <c r="B6" s="4" t="s">
        <v>284</v>
      </c>
      <c r="C6" s="4" t="s">
        <v>285</v>
      </c>
      <c r="D6" s="4" t="s">
        <v>286</v>
      </c>
      <c r="E6" s="4" t="s">
        <v>287</v>
      </c>
      <c r="F6" s="4" t="s">
        <v>288</v>
      </c>
      <c r="G6" s="4" t="s">
        <v>289</v>
      </c>
    </row>
    <row r="9">
      <c r="A9" s="4" t="s">
        <v>290</v>
      </c>
    </row>
    <row r="10">
      <c r="A10" s="4" t="s">
        <v>75</v>
      </c>
      <c r="B10" s="4" t="s">
        <v>291</v>
      </c>
      <c r="C10" s="4" t="s">
        <v>292</v>
      </c>
      <c r="D10" s="4" t="s">
        <v>293</v>
      </c>
      <c r="E10" s="4" t="s">
        <v>294</v>
      </c>
      <c r="F10" s="4" t="s">
        <v>295</v>
      </c>
    </row>
    <row r="11">
      <c r="A11" s="4" t="s">
        <v>85</v>
      </c>
      <c r="B11" s="4" t="s">
        <v>296</v>
      </c>
      <c r="C11" s="4" t="s">
        <v>297</v>
      </c>
      <c r="D11" s="4" t="s">
        <v>298</v>
      </c>
      <c r="E11" s="4" t="s">
        <v>298</v>
      </c>
      <c r="F11" s="4" t="s">
        <v>299</v>
      </c>
    </row>
    <row r="12">
      <c r="A12" s="4" t="s">
        <v>121</v>
      </c>
      <c r="B12" s="4" t="s">
        <v>296</v>
      </c>
      <c r="C12" s="4" t="s">
        <v>296</v>
      </c>
      <c r="D12" s="4" t="s">
        <v>297</v>
      </c>
      <c r="E12" s="4" t="s">
        <v>298</v>
      </c>
      <c r="F12" s="4" t="s">
        <v>299</v>
      </c>
    </row>
    <row r="13">
      <c r="A13" s="4" t="s">
        <v>134</v>
      </c>
      <c r="B13" s="4" t="s">
        <v>297</v>
      </c>
      <c r="C13" s="4" t="s">
        <v>298</v>
      </c>
      <c r="D13" s="4" t="s">
        <v>296</v>
      </c>
      <c r="E13" s="4" t="s">
        <v>297</v>
      </c>
      <c r="F13" s="4" t="s">
        <v>299</v>
      </c>
    </row>
    <row r="14">
      <c r="A14" s="4" t="s">
        <v>300</v>
      </c>
      <c r="B14" s="4" t="s">
        <v>297</v>
      </c>
      <c r="C14" s="4" t="s">
        <v>297</v>
      </c>
      <c r="D14" s="4" t="s">
        <v>296</v>
      </c>
      <c r="E14" s="4" t="s">
        <v>297</v>
      </c>
      <c r="F14" s="4" t="s">
        <v>299</v>
      </c>
    </row>
    <row r="15">
      <c r="A15" s="4" t="s">
        <v>301</v>
      </c>
      <c r="B15" s="4" t="s">
        <v>299</v>
      </c>
      <c r="C15" s="4" t="s">
        <v>298</v>
      </c>
      <c r="D15" s="4" t="s">
        <v>298</v>
      </c>
      <c r="E15" s="4" t="s">
        <v>296</v>
      </c>
      <c r="F15" s="4" t="s">
        <v>298</v>
      </c>
    </row>
    <row r="16">
      <c r="A16" s="4" t="s">
        <v>302</v>
      </c>
      <c r="C16" s="4" t="s">
        <v>299</v>
      </c>
      <c r="D16" s="4" t="s">
        <v>298</v>
      </c>
      <c r="E16" s="4" t="s">
        <v>296</v>
      </c>
      <c r="F16" s="4" t="s">
        <v>297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2:A4"/>
    <mergeCell ref="B2:B4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0"/>
    <col customWidth="1" min="2" max="2" width="47.38"/>
    <col customWidth="1" min="3" max="3" width="26.63"/>
    <col customWidth="1" min="4" max="4" width="18.25"/>
    <col customWidth="1" min="5" max="5" width="31.13"/>
    <col customWidth="1" min="6" max="6" width="40.0"/>
    <col customWidth="1" min="7" max="7" width="50.75"/>
    <col customWidth="1" min="8" max="26" width="8.63"/>
  </cols>
  <sheetData>
    <row r="1">
      <c r="A1" s="3" t="s">
        <v>303</v>
      </c>
      <c r="B1" s="3" t="s">
        <v>304</v>
      </c>
      <c r="C1" s="3" t="s">
        <v>45</v>
      </c>
      <c r="D1" s="8" t="s">
        <v>79</v>
      </c>
      <c r="E1" s="3" t="s">
        <v>5</v>
      </c>
      <c r="F1" s="3" t="s">
        <v>305</v>
      </c>
      <c r="G1" s="3" t="s">
        <v>82</v>
      </c>
    </row>
    <row r="2">
      <c r="A2" s="4" t="s">
        <v>306</v>
      </c>
      <c r="B2" s="4" t="s">
        <v>307</v>
      </c>
      <c r="C2" s="7" t="s">
        <v>50</v>
      </c>
      <c r="D2" s="4">
        <v>46190.0</v>
      </c>
      <c r="E2" s="4" t="s">
        <v>10</v>
      </c>
      <c r="F2" s="4" t="s">
        <v>308</v>
      </c>
    </row>
    <row r="3">
      <c r="A3" s="4" t="s">
        <v>306</v>
      </c>
      <c r="B3" s="4" t="s">
        <v>309</v>
      </c>
      <c r="C3" s="7" t="s">
        <v>50</v>
      </c>
      <c r="D3" s="4">
        <v>46210.0</v>
      </c>
      <c r="E3" s="4" t="s">
        <v>10</v>
      </c>
      <c r="F3" s="4" t="s">
        <v>310</v>
      </c>
    </row>
    <row r="4">
      <c r="A4" s="4" t="s">
        <v>311</v>
      </c>
      <c r="B4" s="4" t="s">
        <v>312</v>
      </c>
      <c r="C4" s="4" t="s">
        <v>52</v>
      </c>
      <c r="D4" s="4">
        <v>46191.0</v>
      </c>
      <c r="E4" s="4" t="s">
        <v>10</v>
      </c>
      <c r="F4" s="4" t="s">
        <v>313</v>
      </c>
      <c r="G4" s="7" t="s">
        <v>314</v>
      </c>
    </row>
    <row r="5">
      <c r="A5" s="4" t="s">
        <v>11</v>
      </c>
      <c r="B5" s="4" t="s">
        <v>315</v>
      </c>
      <c r="C5" s="7" t="s">
        <v>50</v>
      </c>
      <c r="D5" s="4">
        <v>46197.0</v>
      </c>
      <c r="E5" s="4" t="s">
        <v>10</v>
      </c>
      <c r="F5" s="4" t="s">
        <v>316</v>
      </c>
    </row>
    <row r="6">
      <c r="A6" s="4" t="s">
        <v>11</v>
      </c>
      <c r="B6" s="4" t="s">
        <v>317</v>
      </c>
      <c r="C6" s="7" t="s">
        <v>50</v>
      </c>
      <c r="D6" s="4">
        <v>46201.0</v>
      </c>
      <c r="E6" s="4" t="s">
        <v>10</v>
      </c>
      <c r="F6" s="4" t="s">
        <v>318</v>
      </c>
    </row>
    <row r="7">
      <c r="A7" s="4" t="s">
        <v>134</v>
      </c>
      <c r="B7" s="4" t="s">
        <v>319</v>
      </c>
      <c r="C7" s="7" t="s">
        <v>320</v>
      </c>
      <c r="D7" s="4">
        <v>46205.0</v>
      </c>
      <c r="E7" s="4" t="s">
        <v>10</v>
      </c>
      <c r="F7" s="4" t="s">
        <v>321</v>
      </c>
      <c r="G7" s="4" t="s">
        <v>322</v>
      </c>
    </row>
    <row r="8">
      <c r="A8" s="4" t="s">
        <v>134</v>
      </c>
      <c r="B8" s="4" t="s">
        <v>323</v>
      </c>
      <c r="C8" s="7" t="s">
        <v>51</v>
      </c>
      <c r="D8" s="4">
        <v>46202.0</v>
      </c>
      <c r="E8" s="4" t="s">
        <v>10</v>
      </c>
      <c r="F8" s="4" t="s">
        <v>324</v>
      </c>
      <c r="G8" s="4" t="s">
        <v>201</v>
      </c>
    </row>
    <row r="9">
      <c r="A9" s="4" t="s">
        <v>325</v>
      </c>
      <c r="B9" s="4" t="s">
        <v>326</v>
      </c>
      <c r="C9" s="7" t="s">
        <v>51</v>
      </c>
      <c r="D9" s="4">
        <v>46201.0</v>
      </c>
      <c r="E9" s="4" t="s">
        <v>10</v>
      </c>
      <c r="F9" s="4" t="s">
        <v>327</v>
      </c>
    </row>
    <row r="10">
      <c r="A10" s="4" t="s">
        <v>325</v>
      </c>
      <c r="B10" s="4" t="s">
        <v>328</v>
      </c>
      <c r="C10" s="7" t="s">
        <v>51</v>
      </c>
      <c r="D10" s="4">
        <v>46205.0</v>
      </c>
      <c r="E10" s="4" t="s">
        <v>10</v>
      </c>
      <c r="F10" s="4" t="s">
        <v>329</v>
      </c>
    </row>
    <row r="11">
      <c r="A11" s="4" t="s">
        <v>181</v>
      </c>
      <c r="B11" s="4" t="s">
        <v>330</v>
      </c>
      <c r="C11" s="7" t="s">
        <v>51</v>
      </c>
      <c r="D11" s="4">
        <v>46208.0</v>
      </c>
      <c r="E11" s="4" t="s">
        <v>10</v>
      </c>
      <c r="F11" s="4" t="s">
        <v>331</v>
      </c>
      <c r="G11" s="4" t="s">
        <v>188</v>
      </c>
    </row>
    <row r="12">
      <c r="A12" s="4" t="s">
        <v>181</v>
      </c>
      <c r="B12" s="4" t="s">
        <v>332</v>
      </c>
      <c r="C12" s="7" t="s">
        <v>51</v>
      </c>
      <c r="D12" s="4">
        <v>46209.0</v>
      </c>
      <c r="E12" s="4" t="s">
        <v>10</v>
      </c>
      <c r="F12" s="4" t="s">
        <v>333</v>
      </c>
    </row>
    <row r="13">
      <c r="A13" s="4" t="s">
        <v>334</v>
      </c>
      <c r="B13" s="4" t="s">
        <v>335</v>
      </c>
      <c r="C13" s="7" t="s">
        <v>51</v>
      </c>
      <c r="D13" s="4">
        <v>46206.0</v>
      </c>
      <c r="E13" s="4" t="s">
        <v>10</v>
      </c>
      <c r="F13" s="4" t="s">
        <v>336</v>
      </c>
      <c r="G13" s="4" t="s">
        <v>337</v>
      </c>
    </row>
    <row r="14">
      <c r="A14" s="4" t="s">
        <v>108</v>
      </c>
      <c r="B14" s="4" t="s">
        <v>338</v>
      </c>
      <c r="C14" s="7" t="s">
        <v>64</v>
      </c>
      <c r="D14" s="4">
        <v>46210.0</v>
      </c>
      <c r="E14" s="4" t="s">
        <v>10</v>
      </c>
      <c r="F14" s="4" t="s">
        <v>339</v>
      </c>
    </row>
    <row r="15">
      <c r="A15" s="4" t="s">
        <v>151</v>
      </c>
      <c r="B15" s="4" t="s">
        <v>340</v>
      </c>
      <c r="C15" s="7" t="s">
        <v>50</v>
      </c>
      <c r="D15" s="4">
        <v>46210.0</v>
      </c>
      <c r="E15" s="4" t="s">
        <v>10</v>
      </c>
      <c r="F15" s="4" t="s">
        <v>341</v>
      </c>
    </row>
    <row r="16">
      <c r="A16" s="4" t="s">
        <v>151</v>
      </c>
      <c r="B16" s="4" t="s">
        <v>342</v>
      </c>
      <c r="C16" s="7" t="s">
        <v>50</v>
      </c>
      <c r="D16" s="4">
        <v>46210.0</v>
      </c>
      <c r="E16" s="4" t="s">
        <v>10</v>
      </c>
      <c r="F16" s="4" t="s">
        <v>343</v>
      </c>
    </row>
    <row r="17">
      <c r="A17" s="4" t="s">
        <v>151</v>
      </c>
      <c r="B17" s="4" t="s">
        <v>344</v>
      </c>
      <c r="C17" s="4" t="s">
        <v>52</v>
      </c>
      <c r="D17" s="4">
        <v>46211.0</v>
      </c>
      <c r="E17" s="4" t="s">
        <v>10</v>
      </c>
      <c r="F17" s="4" t="s">
        <v>345</v>
      </c>
    </row>
    <row r="18">
      <c r="A18" s="4" t="s">
        <v>346</v>
      </c>
      <c r="B18" s="4" t="s">
        <v>347</v>
      </c>
      <c r="C18" s="4" t="s">
        <v>52</v>
      </c>
      <c r="D18" s="4">
        <v>46210.0</v>
      </c>
      <c r="E18" s="4" t="s">
        <v>10</v>
      </c>
      <c r="F18" s="4" t="s">
        <v>348</v>
      </c>
    </row>
    <row r="19">
      <c r="A19" s="4" t="s">
        <v>346</v>
      </c>
      <c r="B19" s="4" t="s">
        <v>349</v>
      </c>
      <c r="C19" s="4" t="s">
        <v>52</v>
      </c>
      <c r="D19" s="4">
        <v>46212.0</v>
      </c>
      <c r="E19" s="4" t="s">
        <v>10</v>
      </c>
      <c r="F19" s="4" t="s">
        <v>350</v>
      </c>
    </row>
    <row r="20">
      <c r="A20" s="4" t="s">
        <v>254</v>
      </c>
      <c r="B20" s="4" t="s">
        <v>351</v>
      </c>
      <c r="C20" s="4" t="s">
        <v>52</v>
      </c>
      <c r="D20" s="4">
        <v>46212.0</v>
      </c>
      <c r="E20" s="4" t="s">
        <v>10</v>
      </c>
      <c r="F20" s="4" t="s">
        <v>352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7.5"/>
    <col customWidth="1" min="2" max="2" width="43.5"/>
    <col customWidth="1" min="3" max="3" width="36.13"/>
    <col customWidth="1" min="4" max="4" width="35.13"/>
    <col customWidth="1" min="5" max="5" width="32.38"/>
    <col customWidth="1" min="6" max="6" width="22.75"/>
    <col customWidth="1" min="7" max="26" width="8.63"/>
  </cols>
  <sheetData>
    <row r="1">
      <c r="A1" s="3" t="s">
        <v>353</v>
      </c>
      <c r="B1" s="3" t="s">
        <v>3</v>
      </c>
      <c r="C1" s="3" t="s">
        <v>82</v>
      </c>
      <c r="D1" s="3"/>
      <c r="E1" s="3" t="s">
        <v>354</v>
      </c>
      <c r="F1" s="3" t="s">
        <v>355</v>
      </c>
      <c r="G1" s="3" t="s">
        <v>356</v>
      </c>
      <c r="H1" s="3" t="s">
        <v>357</v>
      </c>
    </row>
    <row r="2">
      <c r="A2" s="4" t="s">
        <v>358</v>
      </c>
      <c r="B2" s="4" t="s">
        <v>359</v>
      </c>
      <c r="C2" s="4" t="s">
        <v>360</v>
      </c>
      <c r="E2" s="7" t="s">
        <v>64</v>
      </c>
      <c r="F2" s="4" t="s">
        <v>10</v>
      </c>
      <c r="G2" s="4" t="s">
        <v>87</v>
      </c>
      <c r="H2" s="4" t="s">
        <v>85</v>
      </c>
    </row>
    <row r="3">
      <c r="A3" s="4" t="s">
        <v>361</v>
      </c>
      <c r="B3" s="4" t="s">
        <v>362</v>
      </c>
      <c r="E3" s="7" t="s">
        <v>50</v>
      </c>
      <c r="F3" s="4" t="s">
        <v>15</v>
      </c>
      <c r="G3" s="4" t="s">
        <v>104</v>
      </c>
      <c r="H3" s="4" t="s">
        <v>121</v>
      </c>
    </row>
    <row r="4">
      <c r="A4" s="4" t="s">
        <v>363</v>
      </c>
      <c r="B4" s="15">
        <v>46213.0</v>
      </c>
      <c r="C4" s="4" t="s">
        <v>364</v>
      </c>
      <c r="E4" s="7" t="s">
        <v>51</v>
      </c>
      <c r="F4" s="4" t="s">
        <v>20</v>
      </c>
      <c r="G4" s="4" t="s">
        <v>365</v>
      </c>
      <c r="H4" s="4" t="s">
        <v>134</v>
      </c>
    </row>
    <row r="5">
      <c r="A5" s="4" t="s">
        <v>366</v>
      </c>
      <c r="B5" s="4" t="s">
        <v>367</v>
      </c>
      <c r="C5" s="4" t="s">
        <v>368</v>
      </c>
      <c r="E5" s="4" t="s">
        <v>52</v>
      </c>
      <c r="F5" s="4" t="s">
        <v>25</v>
      </c>
      <c r="H5" s="4" t="s">
        <v>16</v>
      </c>
    </row>
    <row r="6">
      <c r="A6" s="4" t="s">
        <v>369</v>
      </c>
      <c r="B6" s="4" t="s">
        <v>370</v>
      </c>
      <c r="C6" s="4" t="s">
        <v>371</v>
      </c>
      <c r="F6" s="4" t="s">
        <v>30</v>
      </c>
      <c r="H6" s="4" t="s">
        <v>181</v>
      </c>
    </row>
    <row r="7">
      <c r="A7" s="4" t="s">
        <v>372</v>
      </c>
      <c r="B7" s="4" t="s">
        <v>373</v>
      </c>
      <c r="C7" s="4" t="s">
        <v>374</v>
      </c>
      <c r="H7" s="4" t="s">
        <v>108</v>
      </c>
    </row>
    <row r="8">
      <c r="A8" s="4" t="s">
        <v>375</v>
      </c>
      <c r="B8" s="4" t="s">
        <v>140</v>
      </c>
      <c r="C8" s="4" t="s">
        <v>376</v>
      </c>
      <c r="H8" s="4" t="s">
        <v>151</v>
      </c>
    </row>
    <row r="9">
      <c r="A9" s="4" t="s">
        <v>377</v>
      </c>
      <c r="B9" s="4" t="s">
        <v>183</v>
      </c>
      <c r="C9" s="4" t="s">
        <v>378</v>
      </c>
      <c r="H9" s="4" t="s">
        <v>156</v>
      </c>
    </row>
    <row r="10">
      <c r="A10" s="4" t="s">
        <v>379</v>
      </c>
      <c r="B10" s="4" t="s">
        <v>380</v>
      </c>
      <c r="C10" s="4" t="s">
        <v>381</v>
      </c>
      <c r="H10" s="4" t="s">
        <v>198</v>
      </c>
    </row>
    <row r="11">
      <c r="A11" s="4" t="s">
        <v>382</v>
      </c>
      <c r="B11" s="4" t="s">
        <v>383</v>
      </c>
      <c r="C11" s="4" t="s">
        <v>384</v>
      </c>
    </row>
    <row r="12">
      <c r="A12" s="4" t="s">
        <v>385</v>
      </c>
      <c r="B12" s="4" t="s">
        <v>386</v>
      </c>
      <c r="C12" s="4" t="s">
        <v>387</v>
      </c>
    </row>
    <row r="13">
      <c r="A13" s="4" t="s">
        <v>388</v>
      </c>
      <c r="B13" s="4" t="s">
        <v>389</v>
      </c>
      <c r="C13" s="4" t="s">
        <v>390</v>
      </c>
    </row>
    <row r="14">
      <c r="A14" s="4" t="s">
        <v>391</v>
      </c>
      <c r="B14" s="4" t="s">
        <v>392</v>
      </c>
      <c r="C14" s="4" t="s">
        <v>393</v>
      </c>
    </row>
    <row r="15">
      <c r="A15" s="4" t="s">
        <v>394</v>
      </c>
      <c r="B15" s="4" t="s">
        <v>395</v>
      </c>
      <c r="C15" s="4" t="s">
        <v>396</v>
      </c>
    </row>
    <row r="16">
      <c r="A16" s="4" t="s">
        <v>397</v>
      </c>
      <c r="B16" s="4" t="s">
        <v>398</v>
      </c>
      <c r="C16" s="4" t="s">
        <v>399</v>
      </c>
    </row>
    <row r="17">
      <c r="A17" s="4" t="s">
        <v>400</v>
      </c>
      <c r="B17" s="4" t="s">
        <v>401</v>
      </c>
      <c r="C17" s="4" t="s">
        <v>402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